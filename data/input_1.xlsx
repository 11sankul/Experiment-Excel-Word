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Experiment Execl-word\data\"/>
    </mc:Choice>
  </mc:AlternateContent>
  <xr:revisionPtr revIDLastSave="0" documentId="13_ncr:1_{EEBA9381-D3A2-4BF9-8F3C-DDC2CE7725DD}" xr6:coauthVersionLast="47" xr6:coauthVersionMax="47" xr10:uidLastSave="{00000000-0000-0000-0000-000000000000}"/>
  <bookViews>
    <workbookView xWindow="-110" yWindow="-110" windowWidth="25820" windowHeight="15500" xr2:uid="{B21E318C-E491-41CC-8031-B75140FC6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7" i="1" l="1"/>
</calcChain>
</file>

<file path=xl/sharedStrings.xml><?xml version="1.0" encoding="utf-8"?>
<sst xmlns="http://schemas.openxmlformats.org/spreadsheetml/2006/main" count="865" uniqueCount="346">
  <si>
    <t>Sr No.</t>
  </si>
  <si>
    <t>School Address</t>
  </si>
  <si>
    <t>School Name</t>
  </si>
  <si>
    <t>Gmap Link</t>
  </si>
  <si>
    <t>School Board</t>
  </si>
  <si>
    <t>Extra-Curricular Activities</t>
  </si>
  <si>
    <t>Classes Available</t>
  </si>
  <si>
    <t>Minimum Fees</t>
  </si>
  <si>
    <t>Maximum Fees</t>
  </si>
  <si>
    <t>School Student Capacity</t>
  </si>
  <si>
    <t>Student Count</t>
  </si>
  <si>
    <t>Principal Monthly Salary</t>
  </si>
  <si>
    <t>Non-Teaching Avg Salary</t>
  </si>
  <si>
    <t>Teacher Avg Salary</t>
  </si>
  <si>
    <t>Year of establishment</t>
  </si>
  <si>
    <t>School Website</t>
  </si>
  <si>
    <t>How far students coming from</t>
  </si>
  <si>
    <t>Area</t>
  </si>
  <si>
    <t>School Timing</t>
  </si>
  <si>
    <t>Morning Shift time</t>
  </si>
  <si>
    <t>Afternoon Shift time</t>
  </si>
  <si>
    <t>District    </t>
  </si>
  <si>
    <t>Taluka</t>
  </si>
  <si>
    <t>Pin Code</t>
  </si>
  <si>
    <t>Classroom capacity</t>
  </si>
  <si>
    <t>Student teacher ratio</t>
  </si>
  <si>
    <t>No of Teaching Staff</t>
  </si>
  <si>
    <t>No of Non Teaching Staff</t>
  </si>
  <si>
    <t>Owner Type</t>
  </si>
  <si>
    <t xml:space="preserve"> School Owner Name</t>
  </si>
  <si>
    <t>Owner Contact No</t>
  </si>
  <si>
    <t>No. Of  Labs</t>
  </si>
  <si>
    <t>Campus size</t>
  </si>
  <si>
    <t>Build up area</t>
  </si>
  <si>
    <t>School land Remark ( Own Land/ Leased Land)</t>
  </si>
  <si>
    <t>Detail Report Link of the school with photos</t>
  </si>
  <si>
    <t>School Photos link (Photos must be Geo Tagged)</t>
  </si>
  <si>
    <t>Number of Floors</t>
  </si>
  <si>
    <t>Transportation Rate</t>
  </si>
  <si>
    <t>GAT NO 90 RIVER RESIDENCY SNBP INTERNATIONAL SCHOOL CHIKHALI</t>
  </si>
  <si>
    <t>SNBP INTERNATIONAl SCHOOl</t>
  </si>
  <si>
    <t>https://www.google.com/maps/search/SNBP+International+School+%26+College+Chikhali</t>
  </si>
  <si>
    <t>CBSE</t>
  </si>
  <si>
    <t>Hockey Ground for Government Tournament inhouse</t>
  </si>
  <si>
    <t>Sports</t>
  </si>
  <si>
    <t>Pre -12th</t>
  </si>
  <si>
    <t>NA</t>
  </si>
  <si>
    <t>https://moshi.snbpinstitutes.com/</t>
  </si>
  <si>
    <t>8-10 km</t>
  </si>
  <si>
    <t>Chikhali</t>
  </si>
  <si>
    <t>8 am to 2 pm</t>
  </si>
  <si>
    <t>Pune</t>
  </si>
  <si>
    <t>Haveli</t>
  </si>
  <si>
    <t>Educator</t>
  </si>
  <si>
    <t>G+6</t>
  </si>
  <si>
    <t>1200 (1 km), 2200–2700 (1–10 km)</t>
  </si>
  <si>
    <t>GAT NO 112 AND 113 DEHU ALANDI ROAD CHIKHALI MOSHI PUNE 411062</t>
  </si>
  <si>
    <t>City Pride School</t>
  </si>
  <si>
    <t>https://www.google.com/maps/search/City+Pride+School+Moshi</t>
  </si>
  <si>
    <t>Sports facilities, Security, Branding</t>
  </si>
  <si>
    <t>Specialized Sports</t>
  </si>
  <si>
    <t>Pre KG – 10</t>
  </si>
  <si>
    <t>https://cityprideschoolmoshi.org/</t>
  </si>
  <si>
    <t>3-7 km</t>
  </si>
  <si>
    <t>Moshi</t>
  </si>
  <si>
    <t>7 am to 1 pm</t>
  </si>
  <si>
    <t>G+5</t>
  </si>
  <si>
    <t>Shivtej Nagar, Chinchwad</t>
  </si>
  <si>
    <t>https://www.vidyavalleynp.edu.in/</t>
  </si>
  <si>
    <t>ICSE</t>
  </si>
  <si>
    <t>-</t>
  </si>
  <si>
    <t>Jr-10 (ICSE) -11&amp;12 SSC</t>
  </si>
  <si>
    <t>8:00-2:30</t>
  </si>
  <si>
    <t>Gat No.1012, Newale Wasti, Chikhali</t>
  </si>
  <si>
    <t>S M N ENGlISH MEDIUM SCHOOl</t>
  </si>
  <si>
    <t>https://smnenglishschool.com/</t>
  </si>
  <si>
    <t>Jr KG – 12</t>
  </si>
  <si>
    <t>3-6 km</t>
  </si>
  <si>
    <t>8:00-2:20</t>
  </si>
  <si>
    <t>13848 Sqr ft</t>
  </si>
  <si>
    <t>4939 sqr ft</t>
  </si>
  <si>
    <t>G+4</t>
  </si>
  <si>
    <t>Nandanwan Housing Society, Morewasti, Chikhali</t>
  </si>
  <si>
    <t>SIDDHIVINAYAk PUBlIC SCHOOl ENG. MED.(11&amp;12-Sci,35k-40k,COM-25,30k)</t>
  </si>
  <si>
    <t>State Board</t>
  </si>
  <si>
    <t>Jr KG – 10</t>
  </si>
  <si>
    <t>7km</t>
  </si>
  <si>
    <t>7:00-12:00</t>
  </si>
  <si>
    <t>7:00-1:00</t>
  </si>
  <si>
    <t>7231 sqr ft</t>
  </si>
  <si>
    <t>G+2</t>
  </si>
  <si>
    <t>Sonawane Wasti Road, Chikhali, Pimpri-Chinchwad, Pune 411062</t>
  </si>
  <si>
    <t>VISHWAkAlYAN ENGlISH MEDIUM SCHOOl  AND JR COllEGE</t>
  </si>
  <si>
    <t>https://www.google.com/maps/search/Vishwakalyan+School+CBSE</t>
  </si>
  <si>
    <t>Basketball Court</t>
  </si>
  <si>
    <t>Sports &amp; NCC Training</t>
  </si>
  <si>
    <t>Jr - 10</t>
  </si>
  <si>
    <t>https://vishwakalyanschool.in/</t>
  </si>
  <si>
    <t>3-5 km</t>
  </si>
  <si>
    <t>7:30-1:30</t>
  </si>
  <si>
    <t>36444 sqr ft</t>
  </si>
  <si>
    <t>12461 sqr ft</t>
  </si>
  <si>
    <t>Last Bus Stop, Rupeenagar, Talawade, Pune 411062</t>
  </si>
  <si>
    <t>DNYANDEEP PRI. ENG.  MED. RUPEENAGAR (Semi English &amp; State Board English)</t>
  </si>
  <si>
    <t>11km</t>
  </si>
  <si>
    <t>Talawade</t>
  </si>
  <si>
    <t>8:00- 12:00</t>
  </si>
  <si>
    <t>12:00-5:00</t>
  </si>
  <si>
    <t>38605 sqr ft</t>
  </si>
  <si>
    <t>12523 sqr ft</t>
  </si>
  <si>
    <t>G+3</t>
  </si>
  <si>
    <t>AB Sport School, Talawade Rd, Ganesh Nagar, Sahyog Nagar, Pimpri-Chinchwad, Maharashtra 411062</t>
  </si>
  <si>
    <t>Cambridge International School Rupenagar</t>
  </si>
  <si>
    <t>Pre - 8th</t>
  </si>
  <si>
    <t>12km</t>
  </si>
  <si>
    <t>7:15-5:30</t>
  </si>
  <si>
    <t>7:15-12:15 &amp; 2:30</t>
  </si>
  <si>
    <t>2:30-5:30</t>
  </si>
  <si>
    <t xml:space="preserve">57296 sqr ft </t>
  </si>
  <si>
    <t>12671 sqr ft</t>
  </si>
  <si>
    <t>G+1</t>
  </si>
  <si>
    <t>Gat No.1157-1160, Newale Wasti, Chikhali, Pune 411062</t>
  </si>
  <si>
    <t>GANESH INTERNATIONAl SCHOOl CHIkHAlI</t>
  </si>
  <si>
    <t>https://www.google.com/maps/search/Ganesh+International+School</t>
  </si>
  <si>
    <t>Academic Performance</t>
  </si>
  <si>
    <t>Jr- 10</t>
  </si>
  <si>
    <t>https://ganeshinternationalschool.com/</t>
  </si>
  <si>
    <t>5-6 km</t>
  </si>
  <si>
    <t>8:00-2:00</t>
  </si>
  <si>
    <t>70947 sqr ft</t>
  </si>
  <si>
    <t>14593 sqr ft</t>
  </si>
  <si>
    <t>Gat No. 90, Chikhali, Pune 412114</t>
  </si>
  <si>
    <t>INNOVATIVE WORlD SCHOOl</t>
  </si>
  <si>
    <t>https://www.google.com/maps/search/Indrayani+World+School</t>
  </si>
  <si>
    <t>Great Infrastructure</t>
  </si>
  <si>
    <t>Pre KG – 9</t>
  </si>
  <si>
    <t>https://www.innovativeworldschool.co.in/</t>
  </si>
  <si>
    <t>3 km</t>
  </si>
  <si>
    <t>8 am to 3 pm</t>
  </si>
  <si>
    <t>Secondary: 8 am to 3 pm</t>
  </si>
  <si>
    <t>Primary: 9am to 1 pm</t>
  </si>
  <si>
    <t>Gatha Mandir Road, Dehugaon, Pune 412109</t>
  </si>
  <si>
    <t>Four‑S English Medium School, Dehugaon, Pune</t>
  </si>
  <si>
    <t>https://www.google.com/maps/search/Four+S+English+Medium+School</t>
  </si>
  <si>
    <t>Jr-10th</t>
  </si>
  <si>
    <t>Dehu</t>
  </si>
  <si>
    <t>7:00-5:00</t>
  </si>
  <si>
    <t>7:15-12:15</t>
  </si>
  <si>
    <t>12:30-5:00</t>
  </si>
  <si>
    <t>14561 sqr ft</t>
  </si>
  <si>
    <t>5542 sqr ft</t>
  </si>
  <si>
    <t>Gatha Mandir Bypass Road, Dehugaon, Pune 412109</t>
  </si>
  <si>
    <t>ABHANG ENGlISH MEDIUM SCHOOl</t>
  </si>
  <si>
    <t>https://www.google.com/maps/search/Abhang+English+Medium+School</t>
  </si>
  <si>
    <t>https://abhangschool.com/</t>
  </si>
  <si>
    <t>20km</t>
  </si>
  <si>
    <t>31115 sqr ft</t>
  </si>
  <si>
    <t>12441 sqr ft</t>
  </si>
  <si>
    <t>Dehu-Alandi Road, Dehugaon, Pune</t>
  </si>
  <si>
    <t>JAGADGURU ENG MED SCHOOl</t>
  </si>
  <si>
    <t>Jagadguru English Medium School - Google Maps</t>
  </si>
  <si>
    <t>1st-10th</t>
  </si>
  <si>
    <t>22km</t>
  </si>
  <si>
    <t>7:15-1:15</t>
  </si>
  <si>
    <t>1:30-4:30</t>
  </si>
  <si>
    <t>30541 sqr ft</t>
  </si>
  <si>
    <t>11204 sqr ft</t>
  </si>
  <si>
    <t>MPPW+8G5, Talawade Rd, Ashok Nagar, Dehu Road, Maharashtra 412101</t>
  </si>
  <si>
    <t>ARMY PUBLIC SCHOOL (IX &amp; X=97820)</t>
  </si>
  <si>
    <t>https://www.google.com/maps/search/Army+Public+School+Dehu+Road</t>
  </si>
  <si>
    <t>Bus Facility</t>
  </si>
  <si>
    <t>APS Dehuroad</t>
  </si>
  <si>
    <t>10km</t>
  </si>
  <si>
    <t>Dehu Road</t>
  </si>
  <si>
    <t>07:30:00-02:00</t>
  </si>
  <si>
    <t>Military</t>
  </si>
  <si>
    <t>297879 sqr ft</t>
  </si>
  <si>
    <t xml:space="preserve">116336 sqr ft </t>
  </si>
  <si>
    <t>Plot No.2, Sector No.11, PCNTDA Spine Road, Moshi</t>
  </si>
  <si>
    <t>BEACON HIGH SCHOOl</t>
  </si>
  <si>
    <t>https://www.google.com/maps/search/Beacon+High+School</t>
  </si>
  <si>
    <t>Sports, Infrastructure</t>
  </si>
  <si>
    <t>Sports, Robotics, Clubs</t>
  </si>
  <si>
    <t>Pre KG – 12</t>
  </si>
  <si>
    <t>http://beaconhighschool.in/</t>
  </si>
  <si>
    <t>7-10 km</t>
  </si>
  <si>
    <t>7:50 AM – 2:10 PM</t>
  </si>
  <si>
    <t xml:space="preserve">44994 sqr ft </t>
  </si>
  <si>
    <t>25735 sqr ft</t>
  </si>
  <si>
    <t>Sadhu Vaswani Educational Complex, Sector 6, Moshi</t>
  </si>
  <si>
    <t>SADHU VASWANI INTERNATIONAl SCHOOl</t>
  </si>
  <si>
    <t>https://www.google.com/maps/search/Sadhu+Vaswani+International+School</t>
  </si>
  <si>
    <t>Swimming Pool, Auditorium, Counsellor</t>
  </si>
  <si>
    <t>Sports, Dance, Music</t>
  </si>
  <si>
    <t>https://svispune.in/</t>
  </si>
  <si>
    <t>10 km</t>
  </si>
  <si>
    <t>B+G+4</t>
  </si>
  <si>
    <t>Gat No.195, Dehu-Alandi Road, Boratewadi, Moshi</t>
  </si>
  <si>
    <t>PRIYADARSHANI SR. SEC. SCHOOl MOSHI</t>
  </si>
  <si>
    <t>https://www.google.com/maps/search/Priyadarshani+School+Moshi</t>
  </si>
  <si>
    <t>PHN Lab Collaboration</t>
  </si>
  <si>
    <t>https://www.priyadarshanischoolmoshi.in/</t>
  </si>
  <si>
    <t>5-9 km</t>
  </si>
  <si>
    <t>7 am to 5 pm</t>
  </si>
  <si>
    <t>2 pm to 5 pm</t>
  </si>
  <si>
    <t>Plot No.2, Sector No.6, Moshi Pradhikaran, Pune 412105</t>
  </si>
  <si>
    <t>ABHISHEk INTERNATIONAl SCHOOl MOSHI</t>
  </si>
  <si>
    <t>https://www.google.com/maps/search/Abhishek+International+School</t>
  </si>
  <si>
    <t>Bus Facility, Well Infra</t>
  </si>
  <si>
    <t>SOF – Science Olympiad</t>
  </si>
  <si>
    <t>https://www.abhishekinternationalschool.com/</t>
  </si>
  <si>
    <t>7 km</t>
  </si>
  <si>
    <t>B+G+2</t>
  </si>
  <si>
    <t>Gat No.147/148, Tamhane Wasti, Chikhali</t>
  </si>
  <si>
    <t>Balaji English Medium School</t>
  </si>
  <si>
    <t>https://www.google.com/maps/search/Balaji+English+Medium+School</t>
  </si>
  <si>
    <t>Basic Facilities</t>
  </si>
  <si>
    <t>Robotics classes by 3rd party</t>
  </si>
  <si>
    <t>jr-10</t>
  </si>
  <si>
    <t>https://balajienglishmediumschool.com/</t>
  </si>
  <si>
    <t>40200 sqr ft</t>
  </si>
  <si>
    <t>9098 sqr ft</t>
  </si>
  <si>
    <t>MQH2+MRM, Dehu Road, Ravet, Pune</t>
  </si>
  <si>
    <t>Kendriya Vidyalaya No.1 Dehu Road</t>
  </si>
  <si>
    <t>https://www.google.com/maps/search/KV+No+1+Dehu+Road</t>
  </si>
  <si>
    <t>jr-12th</t>
  </si>
  <si>
    <t>KV No 1 Dehu Road | India</t>
  </si>
  <si>
    <t>Government</t>
  </si>
  <si>
    <t>MPPF+HGC, Dehu Road, Maharashtra 412101</t>
  </si>
  <si>
    <t>St. Jude. High.School</t>
  </si>
  <si>
    <t>https://www.google.com/maps/search/St+Jude+School+Dehu+Road</t>
  </si>
  <si>
    <t>Extra-curricular activities</t>
  </si>
  <si>
    <t>St. Jude School</t>
  </si>
  <si>
    <t>14km</t>
  </si>
  <si>
    <t>8:45-3:20</t>
  </si>
  <si>
    <t xml:space="preserve">176874 sqr ft </t>
  </si>
  <si>
    <t>24535 sq. ft</t>
  </si>
  <si>
    <t>MPFW+3J2, Ordnance Factory, Dehu Road</t>
  </si>
  <si>
    <t>Kendriya Vidyalaya No.2 Dehu Road</t>
  </si>
  <si>
    <t>https://www.google.com/maps/search/KV+No+2+Dehu+Road</t>
  </si>
  <si>
    <t>Contact Us | KV Ordnance Factory Dehu Road</t>
  </si>
  <si>
    <t>13km</t>
  </si>
  <si>
    <t xml:space="preserve"> </t>
  </si>
  <si>
    <t>Morevasti, Chikhali, Pune 411062</t>
  </si>
  <si>
    <t>FLYING BIRDS SCHOOL &amp; JR. COLLEGE morevasti chikhali 62</t>
  </si>
  <si>
    <t>8:00-1:15</t>
  </si>
  <si>
    <t>1:30-5:30</t>
  </si>
  <si>
    <t>15058 sqr ft</t>
  </si>
  <si>
    <t xml:space="preserve">6500 sqr ft </t>
  </si>
  <si>
    <t>Pune–Nashik Highway, Bhim Nagar, Moshi</t>
  </si>
  <si>
    <t>Excellent International School &amp; Junior College Moshi</t>
  </si>
  <si>
    <t>https://www.google.com/maps/search/Excellent+International+School+Moshi</t>
  </si>
  <si>
    <t>State Board &amp; CBSE</t>
  </si>
  <si>
    <t>Excellent International School</t>
  </si>
  <si>
    <t>19km</t>
  </si>
  <si>
    <t>8:00 AM – 2:30 PM (School)</t>
  </si>
  <si>
    <t xml:space="preserve">16570 sqr ft </t>
  </si>
  <si>
    <t>8060 sqr ft</t>
  </si>
  <si>
    <t xml:space="preserve">Own Land </t>
  </si>
  <si>
    <t>Near Moshi Toll Plaza, Gaikwad Wasti, Moshi</t>
  </si>
  <si>
    <t>Global Achievers School</t>
  </si>
  <si>
    <t>https://www.google.com/maps/search/Global+Achievers+School</t>
  </si>
  <si>
    <t>8:15-2:15</t>
  </si>
  <si>
    <t xml:space="preserve">32565 sqr ft </t>
  </si>
  <si>
    <t xml:space="preserve">10865 sqr ft </t>
  </si>
  <si>
    <t>Shivaji Wadi Road, Gaikwad Wasti, Moshi</t>
  </si>
  <si>
    <t>New Indrayani English Medium School</t>
  </si>
  <si>
    <t>https://www.google.com/maps/search/New+Indrayani+English+Medium+School</t>
  </si>
  <si>
    <t>pre-8th</t>
  </si>
  <si>
    <t>Discover Excellence: New Indrayani English Medium School</t>
  </si>
  <si>
    <t>23km</t>
  </si>
  <si>
    <t>10191 sqr ft</t>
  </si>
  <si>
    <t>2812 sqr ft</t>
  </si>
  <si>
    <t>MRF5+3PH, Kudalwadi, Chikhali, Maharashtra 411062</t>
  </si>
  <si>
    <t>Buds International School</t>
  </si>
  <si>
    <t>https://www.google.com/maps/search/Buds+International+School+Chikhali</t>
  </si>
  <si>
    <t>Jr-12th</t>
  </si>
  <si>
    <t>https://www.budsinternationalschool.com/</t>
  </si>
  <si>
    <t xml:space="preserve">46602 sqr ft </t>
  </si>
  <si>
    <t>9094 sqr ft</t>
  </si>
  <si>
    <t>Gat No.1660/2, Patil Nagar, Chikhali, Pune 411062</t>
  </si>
  <si>
    <t>Academic Heights Public School (AHPS) - Best School in Chikhali I Best CBSE School in Chikhali I Top School in Chikhali</t>
  </si>
  <si>
    <t>https://www.google.com/maps/search/Academic+Heights+Public+School+Chikhali</t>
  </si>
  <si>
    <t>Well Infrastructure</t>
  </si>
  <si>
    <t>https://ahpspuneschool.com/</t>
  </si>
  <si>
    <t>17km</t>
  </si>
  <si>
    <t xml:space="preserve">59671 sqr ft </t>
  </si>
  <si>
    <t xml:space="preserve">19253 sqr ft </t>
  </si>
  <si>
    <t>G+8</t>
  </si>
  <si>
    <t>Radcliffe Group of Schools (Moshi) CBSE</t>
  </si>
  <si>
    <t>https://www.google.com/maps/search/Radcliffe+School+Moshi</t>
  </si>
  <si>
    <t xml:space="preserve">2 Ways of teaching and Other activities learning way </t>
  </si>
  <si>
    <t>Pre KG – 7</t>
  </si>
  <si>
    <t>https://radcliffe.in/</t>
  </si>
  <si>
    <t>B+G+7</t>
  </si>
  <si>
    <t>Plot No.2, Sector No.4, Moshi, Pune 411070</t>
  </si>
  <si>
    <t>Motilal Talera English Meduim School Moshi CBSE</t>
  </si>
  <si>
    <t>https://www.google.com/maps/search/Motilal+Talera+English+Medium+School</t>
  </si>
  <si>
    <t>Jr-10</t>
  </si>
  <si>
    <t>https://motilaltaleraschool.com/</t>
  </si>
  <si>
    <t>7 am to 3 pm</t>
  </si>
  <si>
    <t>8:00-3:00</t>
  </si>
  <si>
    <t>Moshi Toll Plaza, Gaikwad Wasti, Moshi</t>
  </si>
  <si>
    <t>Preeti english medium school &amp; Jr College</t>
  </si>
  <si>
    <t>https://www.google.com/maps/search/Preeti+English+Medium+School</t>
  </si>
  <si>
    <t>https://preetienglishmediumschool.com/</t>
  </si>
  <si>
    <t>8:15 AM – 2:30 PM</t>
  </si>
  <si>
    <t xml:space="preserve">1672 sqr ft </t>
  </si>
  <si>
    <t xml:space="preserve">3246 sqr ft </t>
  </si>
  <si>
    <t>Gat No.72/1, Dehu–Alandi Road, Moshi</t>
  </si>
  <si>
    <t>Silver Birch International School (Sun shine Group)</t>
  </si>
  <si>
    <t>https://www.google.com/maps/search/Silver+Birch+International+School</t>
  </si>
  <si>
    <t>Pre – 6</t>
  </si>
  <si>
    <t>https://silverbirchinternationalschool.com/</t>
  </si>
  <si>
    <t>16km</t>
  </si>
  <si>
    <t>8:45 AM – 2:45 PM</t>
  </si>
  <si>
    <t xml:space="preserve">20362 sqr ft </t>
  </si>
  <si>
    <t>9200 sqr ft</t>
  </si>
  <si>
    <t>G</t>
  </si>
  <si>
    <t>Woodsville Phase 1, Woodsville St, Aher, Moshi, Pimpri-Chinchwad, Maharashtra 411070</t>
  </si>
  <si>
    <t>Galaxy international School</t>
  </si>
  <si>
    <t>https://www.google.com/maps/search/Galaxy+International+School+Moshi</t>
  </si>
  <si>
    <t xml:space="preserve">Army training from Grade 1,  </t>
  </si>
  <si>
    <t>http://galaxyintschool.com/</t>
  </si>
  <si>
    <t>15km</t>
  </si>
  <si>
    <t>8:00-1:00</t>
  </si>
  <si>
    <t xml:space="preserve">15070 sqr ft </t>
  </si>
  <si>
    <t xml:space="preserve">6570 sqr ft </t>
  </si>
  <si>
    <t>Woodsville St, Bankar Vasti, Moshi, Pimpri-Chinchwad, Maharashtra 411070</t>
  </si>
  <si>
    <t>Shri Shri RaviShankar Vidya Mandir</t>
  </si>
  <si>
    <t>https://moshi.ssrvm.org</t>
  </si>
  <si>
    <t>https://moshi.ssrvm.org/</t>
  </si>
  <si>
    <t xml:space="preserve">29861 sqr ft </t>
  </si>
  <si>
    <t xml:space="preserve">15406 sqr ft </t>
  </si>
  <si>
    <r>
      <t>Top Facilities By the schools</t>
    </r>
    <r>
      <rPr>
        <b/>
        <sz val="12"/>
        <color rgb="FF000000"/>
        <rFont val="Calibri"/>
        <family val="2"/>
      </rPr>
      <t> </t>
    </r>
  </si>
  <si>
    <r>
      <t>Schools Infra Photos: </t>
    </r>
    <r>
      <rPr>
        <b/>
        <sz val="12"/>
        <color rgb="FF000000"/>
        <rFont val="Calibri"/>
        <family val="2"/>
      </rPr>
      <t>  </t>
    </r>
  </si>
  <si>
    <t>Average fees</t>
  </si>
  <si>
    <t>Total Fees Collection</t>
  </si>
  <si>
    <t>Teaching package</t>
  </si>
  <si>
    <t>Principal Package</t>
  </si>
  <si>
    <t>Non Teaching Package</t>
  </si>
  <si>
    <t>Total Expenses (Salary)</t>
  </si>
  <si>
    <t>Difference</t>
  </si>
  <si>
    <t>VIDYA VAlLEY NORTH POINT SCHOOL JR COllEGE</t>
  </si>
  <si>
    <t>27,003 Sq. Ft.</t>
  </si>
  <si>
    <t>ICSE, SSC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</si>
</sst>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/>
    <xf numFmtId="3" fontId="3" fillId="2" borderId="1" xfId="0" applyNumberFormat="1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Jagadguru+English+Medium+School/@18.7148582,73.7663035,605m/data=!3m2!1e3!4b1!4m6!3m5!1s0x3bc2b6dd0782520b:0x9d3dc05a553254c3!8m2!3d18.7148531!4d73.7688731!16s%2Fg%2F1pp2wy6yq?entry=ttu&amp;g_ep=EgoyMDI1MTIwO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F89F-8A46-40D0-9E2E-E94DFE88E183}">
  <dimension ref="A1:AV35"/>
  <sheetViews>
    <sheetView tabSelected="1" zoomScale="85" zoomScaleNormal="85" workbookViewId="0">
      <selection activeCell="C4" sqref="C4:AM4"/>
    </sheetView>
  </sheetViews>
  <sheetFormatPr defaultRowHeight="14.5" x14ac:dyDescent="0.35"/>
  <cols>
    <col min="1" max="3" width="25.90625" customWidth="1"/>
    <col min="4" max="4" width="44.90625" customWidth="1"/>
    <col min="5" max="17" width="25.90625" customWidth="1"/>
    <col min="18" max="18" width="44.1796875" customWidth="1"/>
    <col min="19" max="16384" width="25.90625" customWidth="1"/>
  </cols>
  <sheetData>
    <row r="1" spans="1:48" s="3" customFormat="1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334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335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336</v>
      </c>
      <c r="AQ1" s="3" t="s">
        <v>337</v>
      </c>
      <c r="AR1" s="3" t="s">
        <v>338</v>
      </c>
      <c r="AS1" s="3" t="s">
        <v>339</v>
      </c>
      <c r="AT1" s="3" t="s">
        <v>340</v>
      </c>
      <c r="AU1" s="3" t="s">
        <v>341</v>
      </c>
      <c r="AV1" s="3" t="s">
        <v>342</v>
      </c>
    </row>
    <row r="2" spans="1:48" s="1" customFormat="1" x14ac:dyDescent="0.35">
      <c r="A2" s="1">
        <v>1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>
        <v>64480</v>
      </c>
      <c r="J2" s="1">
        <v>88904</v>
      </c>
      <c r="K2" s="1">
        <v>4659</v>
      </c>
      <c r="L2" s="1">
        <v>1659</v>
      </c>
      <c r="M2" s="1" t="s">
        <v>46</v>
      </c>
      <c r="N2" s="1">
        <v>110000</v>
      </c>
      <c r="O2" s="1">
        <v>20000</v>
      </c>
      <c r="P2" s="1">
        <v>52000</v>
      </c>
      <c r="Q2" s="1">
        <v>2016</v>
      </c>
      <c r="R2" s="1" t="s">
        <v>47</v>
      </c>
      <c r="S2" s="1" t="s">
        <v>48</v>
      </c>
      <c r="T2" s="1" t="s">
        <v>49</v>
      </c>
      <c r="U2" s="1" t="s">
        <v>50</v>
      </c>
      <c r="X2" s="1" t="s">
        <v>51</v>
      </c>
      <c r="Y2" s="1" t="s">
        <v>52</v>
      </c>
      <c r="Z2" s="1">
        <v>412105</v>
      </c>
      <c r="AA2" s="1">
        <v>40</v>
      </c>
      <c r="AB2" s="1">
        <v>6.9444444444444448E-2</v>
      </c>
      <c r="AC2" s="1">
        <v>60</v>
      </c>
      <c r="AD2" s="1">
        <v>30</v>
      </c>
      <c r="AE2" s="1" t="s">
        <v>53</v>
      </c>
      <c r="AF2" s="1" t="s">
        <v>46</v>
      </c>
      <c r="AG2" s="1" t="s">
        <v>46</v>
      </c>
      <c r="AH2" s="1" t="s">
        <v>46</v>
      </c>
      <c r="AI2" s="1">
        <v>180004.87400000001</v>
      </c>
      <c r="AJ2" s="1">
        <v>39481.11</v>
      </c>
      <c r="AK2" s="1" t="s">
        <v>46</v>
      </c>
      <c r="AL2" s="1" t="s">
        <v>46</v>
      </c>
      <c r="AN2" s="1" t="s">
        <v>54</v>
      </c>
      <c r="AO2" s="1" t="s">
        <v>55</v>
      </c>
      <c r="AP2" s="1">
        <v>76692</v>
      </c>
      <c r="AQ2" s="1">
        <v>127232028</v>
      </c>
      <c r="AR2" s="1">
        <v>37440000</v>
      </c>
      <c r="AS2" s="1">
        <v>1320000</v>
      </c>
      <c r="AT2" s="1">
        <v>7200000</v>
      </c>
      <c r="AU2" s="1">
        <v>45960000</v>
      </c>
      <c r="AV2" s="1">
        <v>81272028</v>
      </c>
    </row>
    <row r="3" spans="1:48" s="1" customFormat="1" x14ac:dyDescent="0.35">
      <c r="A3" s="1">
        <v>2</v>
      </c>
      <c r="B3" s="1" t="s">
        <v>56</v>
      </c>
      <c r="C3" s="1" t="s">
        <v>57</v>
      </c>
      <c r="D3" s="1" t="s">
        <v>58</v>
      </c>
      <c r="E3" s="1" t="s">
        <v>42</v>
      </c>
      <c r="F3" s="1" t="s">
        <v>59</v>
      </c>
      <c r="G3" s="1" t="s">
        <v>60</v>
      </c>
      <c r="H3" s="1" t="s">
        <v>61</v>
      </c>
      <c r="I3" s="1">
        <v>88088</v>
      </c>
      <c r="J3" s="1">
        <v>88088</v>
      </c>
      <c r="K3" s="1">
        <v>1500</v>
      </c>
      <c r="L3" s="1">
        <v>680</v>
      </c>
      <c r="M3" s="1" t="s">
        <v>46</v>
      </c>
      <c r="N3" s="1">
        <v>110000</v>
      </c>
      <c r="O3" s="1">
        <v>20000</v>
      </c>
      <c r="P3" s="1">
        <v>52000</v>
      </c>
      <c r="Q3" s="1">
        <v>2022</v>
      </c>
      <c r="R3" s="1" t="s">
        <v>62</v>
      </c>
      <c r="S3" s="1" t="s">
        <v>63</v>
      </c>
      <c r="T3" s="1" t="s">
        <v>64</v>
      </c>
      <c r="U3" s="1" t="s">
        <v>65</v>
      </c>
      <c r="X3" s="1" t="s">
        <v>51</v>
      </c>
      <c r="Y3" s="1" t="s">
        <v>52</v>
      </c>
      <c r="Z3" s="1">
        <v>411062</v>
      </c>
      <c r="AA3" s="1">
        <v>32</v>
      </c>
      <c r="AB3" s="1">
        <v>6.25E-2</v>
      </c>
      <c r="AC3" s="1">
        <v>36</v>
      </c>
      <c r="AD3" s="1">
        <v>19</v>
      </c>
      <c r="AE3" s="1" t="s">
        <v>53</v>
      </c>
      <c r="AF3" s="1" t="s">
        <v>46</v>
      </c>
      <c r="AG3" s="1" t="s">
        <v>46</v>
      </c>
      <c r="AH3" s="1" t="s">
        <v>46</v>
      </c>
      <c r="AI3" s="1">
        <v>123597.247</v>
      </c>
      <c r="AJ3" s="1">
        <v>61855.564700000003</v>
      </c>
      <c r="AK3" s="1" t="s">
        <v>46</v>
      </c>
      <c r="AL3" s="1" t="s">
        <v>46</v>
      </c>
      <c r="AN3" s="1" t="s">
        <v>66</v>
      </c>
      <c r="AO3" s="1" t="s">
        <v>55</v>
      </c>
      <c r="AP3" s="1">
        <v>88088</v>
      </c>
      <c r="AQ3" s="1">
        <v>59899840</v>
      </c>
      <c r="AR3" s="1">
        <v>22464000</v>
      </c>
      <c r="AS3" s="1">
        <v>1320000</v>
      </c>
      <c r="AT3" s="1">
        <v>4560000</v>
      </c>
      <c r="AU3" s="1">
        <v>28344000</v>
      </c>
      <c r="AV3" s="1">
        <v>31555840</v>
      </c>
    </row>
    <row r="4" spans="1:48" s="1" customFormat="1" x14ac:dyDescent="0.35">
      <c r="A4" s="1">
        <v>3</v>
      </c>
      <c r="B4" s="1" t="s">
        <v>67</v>
      </c>
      <c r="C4" s="1" t="s">
        <v>343</v>
      </c>
      <c r="D4" s="1" t="s">
        <v>69</v>
      </c>
      <c r="E4" s="1" t="s">
        <v>46</v>
      </c>
      <c r="F4" s="1" t="s">
        <v>46</v>
      </c>
      <c r="G4" s="1" t="s">
        <v>46</v>
      </c>
      <c r="H4" s="1" t="s">
        <v>67</v>
      </c>
      <c r="I4" s="1" t="s">
        <v>344</v>
      </c>
      <c r="J4" s="1" t="s">
        <v>46</v>
      </c>
      <c r="K4" s="1" t="s">
        <v>51</v>
      </c>
      <c r="L4" s="1" t="s">
        <v>52</v>
      </c>
      <c r="M4" s="1">
        <v>411019</v>
      </c>
      <c r="N4" s="1" t="s">
        <v>68</v>
      </c>
      <c r="O4" s="1" t="s">
        <v>71</v>
      </c>
      <c r="P4" s="1" t="s">
        <v>345</v>
      </c>
      <c r="Q4" s="2">
        <v>30000</v>
      </c>
      <c r="R4" s="2">
        <v>85000</v>
      </c>
      <c r="S4" s="1">
        <v>370</v>
      </c>
      <c r="T4" s="1">
        <v>150</v>
      </c>
      <c r="U4" s="1" t="s">
        <v>46</v>
      </c>
      <c r="V4" s="1" t="s">
        <v>46</v>
      </c>
      <c r="W4" s="1">
        <v>2014</v>
      </c>
      <c r="X4" s="2">
        <v>100000</v>
      </c>
      <c r="Y4" s="2">
        <v>48000</v>
      </c>
      <c r="Z4" s="1" t="s">
        <v>53</v>
      </c>
      <c r="AA4" s="1" t="s">
        <v>46</v>
      </c>
      <c r="AB4" s="1" t="s">
        <v>46</v>
      </c>
      <c r="AC4" s="1">
        <v>5</v>
      </c>
      <c r="AD4" s="1">
        <v>3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55</v>
      </c>
      <c r="AP4" s="1">
        <v>57500</v>
      </c>
      <c r="AQ4" s="1">
        <v>27025000</v>
      </c>
      <c r="AR4" s="1">
        <v>2880000</v>
      </c>
      <c r="AS4" s="1">
        <v>1200000</v>
      </c>
      <c r="AT4" s="1">
        <v>648000</v>
      </c>
      <c r="AU4" s="1">
        <v>4728000</v>
      </c>
      <c r="AV4" s="1">
        <v>22297000</v>
      </c>
    </row>
    <row r="5" spans="1:48" s="1" customFormat="1" x14ac:dyDescent="0.35">
      <c r="A5" s="1">
        <v>4</v>
      </c>
      <c r="B5" s="1" t="s">
        <v>73</v>
      </c>
      <c r="C5" s="1" t="s">
        <v>74</v>
      </c>
      <c r="D5" s="1" t="s">
        <v>75</v>
      </c>
      <c r="E5" s="1" t="s">
        <v>42</v>
      </c>
      <c r="F5" s="1" t="s">
        <v>46</v>
      </c>
      <c r="G5" s="1" t="s">
        <v>70</v>
      </c>
      <c r="H5" s="1" t="s">
        <v>76</v>
      </c>
      <c r="I5" s="1">
        <v>27599</v>
      </c>
      <c r="J5" s="1">
        <v>41300</v>
      </c>
      <c r="K5" s="1">
        <v>650</v>
      </c>
      <c r="L5" s="1">
        <v>450</v>
      </c>
      <c r="M5" s="1" t="s">
        <v>46</v>
      </c>
      <c r="N5" s="1">
        <v>70000</v>
      </c>
      <c r="O5" s="1">
        <v>15000</v>
      </c>
      <c r="P5" s="1">
        <v>32000</v>
      </c>
      <c r="Q5" s="1">
        <v>2014</v>
      </c>
      <c r="R5" s="1" t="s">
        <v>75</v>
      </c>
      <c r="S5" s="1" t="s">
        <v>77</v>
      </c>
      <c r="T5" s="1" t="s">
        <v>49</v>
      </c>
      <c r="U5" s="1" t="s">
        <v>78</v>
      </c>
      <c r="X5" s="1" t="s">
        <v>51</v>
      </c>
      <c r="Y5" s="1" t="s">
        <v>52</v>
      </c>
      <c r="Z5" s="1">
        <v>411062</v>
      </c>
      <c r="AA5" s="1">
        <v>30</v>
      </c>
      <c r="AB5" s="1">
        <v>6.25E-2</v>
      </c>
      <c r="AC5" s="1">
        <v>16</v>
      </c>
      <c r="AD5" s="1">
        <v>8</v>
      </c>
      <c r="AE5" s="1" t="s">
        <v>53</v>
      </c>
      <c r="AF5" s="1" t="s">
        <v>46</v>
      </c>
      <c r="AG5" s="1" t="s">
        <v>46</v>
      </c>
      <c r="AH5" s="1" t="s">
        <v>46</v>
      </c>
      <c r="AI5" s="1" t="s">
        <v>79</v>
      </c>
      <c r="AJ5" s="1" t="s">
        <v>80</v>
      </c>
      <c r="AK5" s="1" t="s">
        <v>46</v>
      </c>
      <c r="AL5" s="1" t="s">
        <v>46</v>
      </c>
      <c r="AN5" s="1" t="s">
        <v>81</v>
      </c>
      <c r="AO5" s="1" t="s">
        <v>55</v>
      </c>
      <c r="AP5" s="1">
        <v>34449.5</v>
      </c>
      <c r="AQ5" s="1">
        <v>15502275</v>
      </c>
      <c r="AR5" s="1">
        <v>6144000</v>
      </c>
      <c r="AS5" s="1">
        <v>840000</v>
      </c>
      <c r="AT5" s="1">
        <v>1440000</v>
      </c>
      <c r="AU5" s="1">
        <v>8424000</v>
      </c>
      <c r="AV5" s="1">
        <v>7078275</v>
      </c>
    </row>
    <row r="6" spans="1:48" s="1" customFormat="1" x14ac:dyDescent="0.35">
      <c r="A6" s="1">
        <v>5</v>
      </c>
      <c r="B6" s="1" t="s">
        <v>82</v>
      </c>
      <c r="C6" s="1" t="s">
        <v>83</v>
      </c>
      <c r="E6" s="1" t="s">
        <v>84</v>
      </c>
      <c r="F6" s="1" t="s">
        <v>46</v>
      </c>
      <c r="G6" s="1" t="s">
        <v>70</v>
      </c>
      <c r="H6" s="1" t="s">
        <v>85</v>
      </c>
      <c r="I6" s="1">
        <v>11300</v>
      </c>
      <c r="J6" s="1">
        <v>40000</v>
      </c>
      <c r="K6" s="1">
        <v>750</v>
      </c>
      <c r="L6" s="1">
        <v>680</v>
      </c>
      <c r="M6" s="1" t="s">
        <v>46</v>
      </c>
      <c r="N6" s="1">
        <v>50000</v>
      </c>
      <c r="O6" s="1">
        <v>12000</v>
      </c>
      <c r="P6" s="1">
        <v>20000</v>
      </c>
      <c r="Q6" s="1">
        <v>2018</v>
      </c>
      <c r="R6" s="1" t="s">
        <v>46</v>
      </c>
      <c r="S6" s="1" t="s">
        <v>86</v>
      </c>
      <c r="T6" s="1" t="s">
        <v>49</v>
      </c>
      <c r="U6" s="1" t="s">
        <v>87</v>
      </c>
      <c r="V6" s="1" t="s">
        <v>88</v>
      </c>
      <c r="X6" s="1" t="s">
        <v>51</v>
      </c>
      <c r="Y6" s="1" t="s">
        <v>52</v>
      </c>
      <c r="Z6" s="1">
        <v>411062</v>
      </c>
      <c r="AA6" s="1">
        <v>45</v>
      </c>
      <c r="AB6" s="1">
        <v>7.2916666666666671E-2</v>
      </c>
      <c r="AC6" s="1">
        <v>21</v>
      </c>
      <c r="AD6" s="1">
        <v>12</v>
      </c>
      <c r="AE6" s="1" t="s">
        <v>53</v>
      </c>
      <c r="AF6" s="1" t="s">
        <v>46</v>
      </c>
      <c r="AG6" s="1" t="s">
        <v>46</v>
      </c>
      <c r="AH6" s="1" t="s">
        <v>46</v>
      </c>
      <c r="AI6" s="1" t="s">
        <v>89</v>
      </c>
      <c r="AJ6" s="1" t="s">
        <v>89</v>
      </c>
      <c r="AK6" s="1" t="s">
        <v>46</v>
      </c>
      <c r="AL6" s="1" t="s">
        <v>46</v>
      </c>
      <c r="AN6" s="1" t="s">
        <v>90</v>
      </c>
      <c r="AO6" s="1" t="s">
        <v>55</v>
      </c>
      <c r="AP6" s="1">
        <v>25650</v>
      </c>
      <c r="AQ6" s="1">
        <v>17442000</v>
      </c>
      <c r="AR6" s="1">
        <v>5040000</v>
      </c>
      <c r="AS6" s="1">
        <v>600000</v>
      </c>
      <c r="AT6" s="1">
        <v>1728000</v>
      </c>
      <c r="AU6" s="1">
        <v>7368000</v>
      </c>
      <c r="AV6" s="1">
        <v>10074000</v>
      </c>
    </row>
    <row r="7" spans="1:48" s="1" customFormat="1" x14ac:dyDescent="0.35">
      <c r="A7" s="1">
        <v>6</v>
      </c>
      <c r="B7" s="1" t="s">
        <v>91</v>
      </c>
      <c r="C7" s="1" t="s">
        <v>92</v>
      </c>
      <c r="D7" s="1" t="s">
        <v>93</v>
      </c>
      <c r="E7" s="1" t="s">
        <v>42</v>
      </c>
      <c r="F7" s="1" t="s">
        <v>94</v>
      </c>
      <c r="G7" s="1" t="s">
        <v>95</v>
      </c>
      <c r="H7" s="1" t="s">
        <v>96</v>
      </c>
      <c r="I7" s="1">
        <v>48476</v>
      </c>
      <c r="J7" s="1">
        <v>58476</v>
      </c>
      <c r="K7" s="1">
        <v>2000</v>
      </c>
      <c r="L7" s="1">
        <v>1320</v>
      </c>
      <c r="M7" s="1" t="s">
        <v>46</v>
      </c>
      <c r="N7" s="1">
        <v>90000</v>
      </c>
      <c r="O7" s="1">
        <v>18000</v>
      </c>
      <c r="P7" s="1">
        <v>42000</v>
      </c>
      <c r="Q7" s="1">
        <v>2009</v>
      </c>
      <c r="R7" s="1" t="s">
        <v>97</v>
      </c>
      <c r="S7" s="1" t="s">
        <v>98</v>
      </c>
      <c r="T7" s="1" t="s">
        <v>49</v>
      </c>
      <c r="U7" s="1" t="s">
        <v>99</v>
      </c>
      <c r="X7" s="1" t="s">
        <v>51</v>
      </c>
      <c r="Y7" s="1" t="s">
        <v>52</v>
      </c>
      <c r="Z7" s="1">
        <v>411062</v>
      </c>
      <c r="AA7" s="1">
        <v>32</v>
      </c>
      <c r="AB7" s="1">
        <v>6.25E-2</v>
      </c>
      <c r="AC7" s="1">
        <v>47</v>
      </c>
      <c r="AD7" s="1">
        <v>24</v>
      </c>
      <c r="AE7" s="1" t="s">
        <v>53</v>
      </c>
      <c r="AF7" s="1" t="s">
        <v>46</v>
      </c>
      <c r="AG7" s="1" t="s">
        <v>46</v>
      </c>
      <c r="AH7" s="1" t="s">
        <v>46</v>
      </c>
      <c r="AI7" s="1" t="s">
        <v>100</v>
      </c>
      <c r="AJ7" s="1" t="s">
        <v>101</v>
      </c>
      <c r="AK7" s="1" t="s">
        <v>46</v>
      </c>
      <c r="AL7" s="1" t="s">
        <v>46</v>
      </c>
      <c r="AN7" s="1" t="s">
        <v>90</v>
      </c>
      <c r="AO7" s="1" t="s">
        <v>55</v>
      </c>
      <c r="AP7" s="1">
        <v>53476</v>
      </c>
      <c r="AQ7" s="1">
        <v>70588320</v>
      </c>
      <c r="AR7" s="1">
        <v>23688000</v>
      </c>
      <c r="AS7" s="1">
        <v>1080000</v>
      </c>
      <c r="AT7" s="1">
        <v>5184000</v>
      </c>
      <c r="AU7" s="1">
        <f>SUM(AT7,AS7,AR7)</f>
        <v>29952000</v>
      </c>
      <c r="AV7" s="1">
        <v>40636320</v>
      </c>
    </row>
    <row r="8" spans="1:48" s="1" customFormat="1" x14ac:dyDescent="0.35">
      <c r="A8" s="1">
        <v>7</v>
      </c>
      <c r="B8" s="1" t="s">
        <v>102</v>
      </c>
      <c r="C8" s="1" t="s">
        <v>103</v>
      </c>
      <c r="E8" s="1" t="s">
        <v>84</v>
      </c>
      <c r="F8" s="1" t="s">
        <v>46</v>
      </c>
      <c r="G8" s="1" t="s">
        <v>70</v>
      </c>
      <c r="H8" s="1" t="s">
        <v>96</v>
      </c>
      <c r="I8" s="1">
        <v>6700</v>
      </c>
      <c r="J8" s="1">
        <v>26900</v>
      </c>
      <c r="K8" s="1">
        <v>2500</v>
      </c>
      <c r="L8" s="1">
        <v>2150</v>
      </c>
      <c r="M8" s="1" t="s">
        <v>46</v>
      </c>
      <c r="N8" s="1">
        <v>45000</v>
      </c>
      <c r="O8" s="1">
        <v>12000</v>
      </c>
      <c r="P8" s="1">
        <v>18000</v>
      </c>
      <c r="Q8" s="1">
        <v>2016</v>
      </c>
      <c r="R8" s="1" t="s">
        <v>46</v>
      </c>
      <c r="S8" s="1" t="s">
        <v>104</v>
      </c>
      <c r="T8" s="1" t="s">
        <v>105</v>
      </c>
      <c r="U8" s="1" t="s">
        <v>106</v>
      </c>
      <c r="V8" s="1" t="s">
        <v>107</v>
      </c>
      <c r="X8" s="1" t="s">
        <v>51</v>
      </c>
      <c r="Y8" s="1" t="s">
        <v>52</v>
      </c>
      <c r="Z8" s="1">
        <v>411062</v>
      </c>
      <c r="AA8" s="1">
        <v>50</v>
      </c>
      <c r="AB8" s="1">
        <v>7.6388888888888895E-2</v>
      </c>
      <c r="AC8" s="1">
        <v>67</v>
      </c>
      <c r="AD8" s="1">
        <v>39</v>
      </c>
      <c r="AE8" s="1" t="s">
        <v>53</v>
      </c>
      <c r="AF8" s="1" t="s">
        <v>46</v>
      </c>
      <c r="AG8" s="1" t="s">
        <v>46</v>
      </c>
      <c r="AH8" s="1" t="s">
        <v>46</v>
      </c>
      <c r="AI8" s="1" t="s">
        <v>108</v>
      </c>
      <c r="AJ8" s="1" t="s">
        <v>109</v>
      </c>
      <c r="AK8" s="1" t="s">
        <v>46</v>
      </c>
      <c r="AL8" s="1" t="s">
        <v>46</v>
      </c>
      <c r="AN8" s="1" t="s">
        <v>110</v>
      </c>
      <c r="AO8" s="1" t="s">
        <v>55</v>
      </c>
      <c r="AP8" s="1">
        <v>16800</v>
      </c>
      <c r="AQ8" s="1">
        <v>36120000</v>
      </c>
      <c r="AR8" s="1">
        <v>14472000</v>
      </c>
      <c r="AS8" s="1">
        <v>540000</v>
      </c>
      <c r="AT8" s="1">
        <v>5616000</v>
      </c>
      <c r="AU8" s="1">
        <v>20628000</v>
      </c>
      <c r="AV8" s="1">
        <v>15492000</v>
      </c>
    </row>
    <row r="9" spans="1:48" s="1" customFormat="1" x14ac:dyDescent="0.35">
      <c r="A9" s="1">
        <v>8</v>
      </c>
      <c r="B9" s="1" t="s">
        <v>111</v>
      </c>
      <c r="C9" s="1" t="s">
        <v>112</v>
      </c>
      <c r="D9" s="1" t="s">
        <v>46</v>
      </c>
      <c r="E9" s="1" t="s">
        <v>84</v>
      </c>
      <c r="F9" s="1" t="s">
        <v>46</v>
      </c>
      <c r="G9" s="1" t="s">
        <v>70</v>
      </c>
      <c r="H9" s="1" t="s">
        <v>113</v>
      </c>
      <c r="I9" s="1">
        <v>19900</v>
      </c>
      <c r="J9" s="1">
        <v>26400</v>
      </c>
      <c r="K9" s="1">
        <v>1200</v>
      </c>
      <c r="L9" s="1">
        <v>780</v>
      </c>
      <c r="M9" s="1" t="s">
        <v>46</v>
      </c>
      <c r="N9" s="1">
        <v>45000</v>
      </c>
      <c r="O9" s="1">
        <v>12000</v>
      </c>
      <c r="P9" s="1">
        <v>18000</v>
      </c>
      <c r="Q9" s="1">
        <v>2022</v>
      </c>
      <c r="R9" s="1" t="s">
        <v>46</v>
      </c>
      <c r="S9" s="1" t="s">
        <v>114</v>
      </c>
      <c r="T9" s="1" t="s">
        <v>105</v>
      </c>
      <c r="U9" s="1" t="s">
        <v>115</v>
      </c>
      <c r="V9" s="1" t="s">
        <v>116</v>
      </c>
      <c r="W9" s="1" t="s">
        <v>117</v>
      </c>
      <c r="X9" s="1" t="s">
        <v>51</v>
      </c>
      <c r="Y9" s="1" t="s">
        <v>52</v>
      </c>
      <c r="Z9" s="1">
        <v>411062</v>
      </c>
      <c r="AA9" s="1">
        <v>35</v>
      </c>
      <c r="AB9" s="1">
        <v>6.5972222222222224E-2</v>
      </c>
      <c r="AC9" s="1">
        <v>24</v>
      </c>
      <c r="AD9" s="1">
        <v>14</v>
      </c>
      <c r="AE9" s="1" t="s">
        <v>53</v>
      </c>
      <c r="AF9" s="1" t="s">
        <v>46</v>
      </c>
      <c r="AG9" s="1" t="s">
        <v>46</v>
      </c>
      <c r="AH9" s="1" t="s">
        <v>46</v>
      </c>
      <c r="AI9" s="1" t="s">
        <v>118</v>
      </c>
      <c r="AJ9" s="1" t="s">
        <v>119</v>
      </c>
      <c r="AK9" s="1" t="s">
        <v>46</v>
      </c>
      <c r="AL9" s="1" t="s">
        <v>46</v>
      </c>
      <c r="AN9" s="1" t="s">
        <v>120</v>
      </c>
      <c r="AO9" s="1" t="s">
        <v>55</v>
      </c>
      <c r="AP9" s="1">
        <v>23150</v>
      </c>
      <c r="AQ9" s="1">
        <v>18057000</v>
      </c>
      <c r="AR9" s="1">
        <v>5184000</v>
      </c>
      <c r="AS9" s="1">
        <v>540000</v>
      </c>
      <c r="AT9" s="1">
        <v>2016000</v>
      </c>
      <c r="AU9" s="1">
        <v>7740000</v>
      </c>
      <c r="AV9" s="1">
        <v>10317000</v>
      </c>
    </row>
    <row r="10" spans="1:48" s="1" customFormat="1" x14ac:dyDescent="0.35">
      <c r="A10" s="1">
        <v>9</v>
      </c>
      <c r="B10" s="1" t="s">
        <v>121</v>
      </c>
      <c r="C10" s="1" t="s">
        <v>122</v>
      </c>
      <c r="D10" s="1" t="s">
        <v>123</v>
      </c>
      <c r="E10" s="1" t="s">
        <v>42</v>
      </c>
      <c r="F10" s="1" t="s">
        <v>124</v>
      </c>
      <c r="G10" s="1" t="s">
        <v>44</v>
      </c>
      <c r="H10" s="1" t="s">
        <v>125</v>
      </c>
      <c r="I10" s="1">
        <v>43000</v>
      </c>
      <c r="J10" s="1">
        <v>60000</v>
      </c>
      <c r="K10" s="1">
        <v>1600</v>
      </c>
      <c r="L10" s="1">
        <v>1350</v>
      </c>
      <c r="M10" s="1" t="s">
        <v>46</v>
      </c>
      <c r="N10" s="1">
        <v>80000</v>
      </c>
      <c r="O10" s="1">
        <v>16000</v>
      </c>
      <c r="P10" s="1">
        <v>38000</v>
      </c>
      <c r="Q10" s="1">
        <v>2013</v>
      </c>
      <c r="R10" s="1" t="s">
        <v>126</v>
      </c>
      <c r="S10" s="1" t="s">
        <v>127</v>
      </c>
      <c r="T10" s="1" t="s">
        <v>49</v>
      </c>
      <c r="U10" s="1" t="s">
        <v>128</v>
      </c>
      <c r="X10" s="1" t="s">
        <v>51</v>
      </c>
      <c r="Y10" s="1" t="s">
        <v>52</v>
      </c>
      <c r="Z10" s="1">
        <v>411062</v>
      </c>
      <c r="AA10" s="1">
        <v>35</v>
      </c>
      <c r="AB10" s="1">
        <v>6.5972222222222224E-2</v>
      </c>
      <c r="AC10" s="1">
        <v>48</v>
      </c>
      <c r="AD10" s="1">
        <v>25</v>
      </c>
      <c r="AE10" s="1" t="s">
        <v>53</v>
      </c>
      <c r="AF10" s="1" t="s">
        <v>46</v>
      </c>
      <c r="AG10" s="1" t="s">
        <v>46</v>
      </c>
      <c r="AH10" s="1" t="s">
        <v>46</v>
      </c>
      <c r="AI10" s="1" t="s">
        <v>129</v>
      </c>
      <c r="AJ10" s="1" t="s">
        <v>130</v>
      </c>
      <c r="AK10" s="1" t="s">
        <v>46</v>
      </c>
      <c r="AL10" s="1" t="s">
        <v>46</v>
      </c>
      <c r="AN10" s="1" t="s">
        <v>90</v>
      </c>
      <c r="AO10" s="1" t="s">
        <v>55</v>
      </c>
      <c r="AP10" s="1">
        <v>51500</v>
      </c>
      <c r="AQ10" s="1">
        <v>69525000</v>
      </c>
      <c r="AR10" s="1">
        <v>21888000</v>
      </c>
      <c r="AS10" s="1">
        <v>960000</v>
      </c>
      <c r="AT10" s="1">
        <v>4800000</v>
      </c>
      <c r="AU10" s="1">
        <v>27648000</v>
      </c>
      <c r="AV10" s="1">
        <v>41877000</v>
      </c>
    </row>
    <row r="11" spans="1:48" s="1" customFormat="1" x14ac:dyDescent="0.35">
      <c r="A11" s="1">
        <v>10</v>
      </c>
      <c r="B11" s="1" t="s">
        <v>131</v>
      </c>
      <c r="C11" s="1" t="s">
        <v>132</v>
      </c>
      <c r="D11" s="1" t="s">
        <v>133</v>
      </c>
      <c r="E11" s="1" t="s">
        <v>42</v>
      </c>
      <c r="F11" s="1" t="s">
        <v>134</v>
      </c>
      <c r="G11" s="1" t="s">
        <v>44</v>
      </c>
      <c r="H11" s="1" t="s">
        <v>135</v>
      </c>
      <c r="I11" s="1">
        <v>27900</v>
      </c>
      <c r="J11" s="1">
        <v>60800</v>
      </c>
      <c r="K11" s="1">
        <v>700</v>
      </c>
      <c r="L11" s="1">
        <v>450</v>
      </c>
      <c r="M11" s="1" t="s">
        <v>46</v>
      </c>
      <c r="N11" s="1">
        <v>80000</v>
      </c>
      <c r="O11" s="1">
        <v>16000</v>
      </c>
      <c r="P11" s="1">
        <v>38000</v>
      </c>
      <c r="Q11" s="1">
        <v>2022</v>
      </c>
      <c r="R11" s="1" t="s">
        <v>136</v>
      </c>
      <c r="S11" s="1" t="s">
        <v>137</v>
      </c>
      <c r="T11" s="1" t="s">
        <v>49</v>
      </c>
      <c r="U11" s="1" t="s">
        <v>138</v>
      </c>
      <c r="V11" s="1" t="s">
        <v>139</v>
      </c>
      <c r="W11" s="1" t="s">
        <v>140</v>
      </c>
      <c r="X11" s="1" t="s">
        <v>51</v>
      </c>
      <c r="Y11" s="1" t="s">
        <v>52</v>
      </c>
      <c r="Z11" s="1">
        <v>412114</v>
      </c>
      <c r="AA11" s="1">
        <v>23</v>
      </c>
      <c r="AB11" s="1">
        <v>5.5555555555555552E-2</v>
      </c>
      <c r="AC11" s="1">
        <v>16</v>
      </c>
      <c r="AD11" s="1">
        <v>8</v>
      </c>
      <c r="AE11" s="1" t="s">
        <v>53</v>
      </c>
      <c r="AF11" s="1" t="s">
        <v>46</v>
      </c>
      <c r="AG11" s="1" t="s">
        <v>46</v>
      </c>
      <c r="AH11" s="1" t="s">
        <v>46</v>
      </c>
      <c r="AI11" s="1">
        <v>123597.247</v>
      </c>
      <c r="AJ11" s="1">
        <v>32291.731299999999</v>
      </c>
      <c r="AK11" s="1" t="s">
        <v>46</v>
      </c>
      <c r="AL11" s="1" t="s">
        <v>46</v>
      </c>
      <c r="AN11" s="1" t="s">
        <v>110</v>
      </c>
      <c r="AO11" s="1" t="s">
        <v>55</v>
      </c>
      <c r="AP11" s="1">
        <v>44350</v>
      </c>
      <c r="AQ11" s="1">
        <v>19957500</v>
      </c>
      <c r="AR11" s="1">
        <v>7296000</v>
      </c>
      <c r="AS11" s="1">
        <v>960000</v>
      </c>
      <c r="AT11" s="1">
        <v>1536000</v>
      </c>
      <c r="AU11" s="1">
        <v>9792000</v>
      </c>
      <c r="AV11" s="1">
        <v>10165500</v>
      </c>
    </row>
    <row r="12" spans="1:48" s="1" customFormat="1" x14ac:dyDescent="0.35">
      <c r="A12" s="1">
        <v>11</v>
      </c>
      <c r="B12" s="1" t="s">
        <v>141</v>
      </c>
      <c r="C12" s="1" t="s">
        <v>142</v>
      </c>
      <c r="D12" s="1" t="s">
        <v>143</v>
      </c>
      <c r="E12" s="1" t="s">
        <v>84</v>
      </c>
      <c r="F12" s="1" t="s">
        <v>46</v>
      </c>
      <c r="G12" s="1" t="s">
        <v>70</v>
      </c>
      <c r="H12" s="1" t="s">
        <v>144</v>
      </c>
      <c r="I12" s="1">
        <v>18700</v>
      </c>
      <c r="J12" s="1">
        <v>28000</v>
      </c>
      <c r="K12" s="1">
        <v>1100</v>
      </c>
      <c r="L12" s="1">
        <v>950</v>
      </c>
      <c r="M12" s="1" t="s">
        <v>46</v>
      </c>
      <c r="N12" s="1">
        <v>45000</v>
      </c>
      <c r="O12" s="1">
        <v>12000</v>
      </c>
      <c r="P12" s="1">
        <v>18000</v>
      </c>
      <c r="Q12" s="1">
        <v>2006</v>
      </c>
      <c r="R12" s="1" t="s">
        <v>46</v>
      </c>
      <c r="S12" s="1" t="s">
        <v>98</v>
      </c>
      <c r="T12" s="1" t="s">
        <v>145</v>
      </c>
      <c r="U12" s="1" t="s">
        <v>146</v>
      </c>
      <c r="V12" s="1" t="s">
        <v>147</v>
      </c>
      <c r="W12" s="1" t="s">
        <v>148</v>
      </c>
      <c r="X12" s="1" t="s">
        <v>51</v>
      </c>
      <c r="Y12" s="1" t="s">
        <v>52</v>
      </c>
      <c r="Z12" s="1">
        <v>412109</v>
      </c>
      <c r="AA12" s="1">
        <v>30</v>
      </c>
      <c r="AB12" s="1">
        <v>6.25E-2</v>
      </c>
      <c r="AC12" s="1">
        <v>30</v>
      </c>
      <c r="AD12" s="1">
        <v>17</v>
      </c>
      <c r="AE12" s="1" t="s">
        <v>53</v>
      </c>
      <c r="AF12" s="1" t="s">
        <v>46</v>
      </c>
      <c r="AG12" s="1" t="s">
        <v>46</v>
      </c>
      <c r="AH12" s="1" t="s">
        <v>46</v>
      </c>
      <c r="AI12" s="1" t="s">
        <v>149</v>
      </c>
      <c r="AJ12" s="1" t="s">
        <v>150</v>
      </c>
      <c r="AK12" s="1" t="s">
        <v>46</v>
      </c>
      <c r="AL12" s="1" t="s">
        <v>46</v>
      </c>
      <c r="AN12" s="1" t="s">
        <v>90</v>
      </c>
      <c r="AO12" s="1" t="s">
        <v>55</v>
      </c>
      <c r="AP12" s="1">
        <v>23350</v>
      </c>
      <c r="AQ12" s="1">
        <v>22182500</v>
      </c>
      <c r="AR12" s="1">
        <v>6480000</v>
      </c>
      <c r="AS12" s="1">
        <v>540000</v>
      </c>
      <c r="AT12" s="1">
        <v>2448000</v>
      </c>
      <c r="AU12" s="1">
        <v>9468000</v>
      </c>
      <c r="AV12" s="1">
        <v>12714500</v>
      </c>
    </row>
    <row r="13" spans="1:48" s="1" customFormat="1" x14ac:dyDescent="0.35">
      <c r="A13" s="1">
        <v>12</v>
      </c>
      <c r="B13" s="1" t="s">
        <v>151</v>
      </c>
      <c r="C13" s="1" t="s">
        <v>152</v>
      </c>
      <c r="D13" s="1" t="s">
        <v>153</v>
      </c>
      <c r="E13" s="1" t="s">
        <v>84</v>
      </c>
      <c r="F13" s="1" t="s">
        <v>46</v>
      </c>
      <c r="G13" s="1" t="s">
        <v>70</v>
      </c>
      <c r="H13" s="1" t="s">
        <v>135</v>
      </c>
      <c r="I13" s="1">
        <v>15000</v>
      </c>
      <c r="J13" s="1">
        <v>22000</v>
      </c>
      <c r="K13" s="1">
        <v>1500</v>
      </c>
      <c r="L13" s="1">
        <v>798</v>
      </c>
      <c r="M13" s="1" t="s">
        <v>46</v>
      </c>
      <c r="N13" s="1">
        <v>40000</v>
      </c>
      <c r="O13" s="1">
        <v>11000</v>
      </c>
      <c r="P13" s="1">
        <v>16000</v>
      </c>
      <c r="Q13" s="1">
        <v>2019</v>
      </c>
      <c r="R13" s="1" t="s">
        <v>154</v>
      </c>
      <c r="S13" s="1" t="s">
        <v>155</v>
      </c>
      <c r="T13" s="1" t="s">
        <v>145</v>
      </c>
      <c r="U13" s="1" t="s">
        <v>146</v>
      </c>
      <c r="V13" s="1" t="s">
        <v>147</v>
      </c>
      <c r="W13" s="1" t="s">
        <v>148</v>
      </c>
      <c r="X13" s="1" t="s">
        <v>51</v>
      </c>
      <c r="Y13" s="1" t="s">
        <v>52</v>
      </c>
      <c r="Z13" s="1">
        <v>412109</v>
      </c>
      <c r="AA13" s="1">
        <v>32</v>
      </c>
      <c r="AB13" s="1">
        <v>6.25E-2</v>
      </c>
      <c r="AC13" s="1">
        <v>25</v>
      </c>
      <c r="AD13" s="1">
        <v>15</v>
      </c>
      <c r="AE13" s="1" t="s">
        <v>53</v>
      </c>
      <c r="AF13" s="1" t="s">
        <v>46</v>
      </c>
      <c r="AG13" s="1" t="s">
        <v>46</v>
      </c>
      <c r="AH13" s="1" t="s">
        <v>46</v>
      </c>
      <c r="AI13" s="1" t="s">
        <v>156</v>
      </c>
      <c r="AJ13" s="1" t="s">
        <v>157</v>
      </c>
      <c r="AK13" s="1" t="s">
        <v>46</v>
      </c>
      <c r="AL13" s="1" t="s">
        <v>46</v>
      </c>
      <c r="AN13" s="1" t="s">
        <v>90</v>
      </c>
      <c r="AO13" s="1" t="s">
        <v>55</v>
      </c>
      <c r="AP13" s="1">
        <v>18500</v>
      </c>
      <c r="AQ13" s="1">
        <v>14763000</v>
      </c>
      <c r="AR13" s="1">
        <v>4800000</v>
      </c>
      <c r="AS13" s="1">
        <v>480000</v>
      </c>
      <c r="AT13" s="1">
        <v>1980000</v>
      </c>
      <c r="AU13" s="1">
        <v>7260000</v>
      </c>
      <c r="AV13" s="1">
        <v>7503000</v>
      </c>
    </row>
    <row r="14" spans="1:48" s="1" customFormat="1" x14ac:dyDescent="0.35">
      <c r="A14" s="1">
        <v>13</v>
      </c>
      <c r="B14" s="1" t="s">
        <v>158</v>
      </c>
      <c r="C14" s="1" t="s">
        <v>159</v>
      </c>
      <c r="D14" s="1" t="s">
        <v>160</v>
      </c>
      <c r="E14" s="1" t="s">
        <v>84</v>
      </c>
      <c r="F14" s="1" t="s">
        <v>46</v>
      </c>
      <c r="G14" s="1" t="s">
        <v>70</v>
      </c>
      <c r="H14" s="1" t="s">
        <v>161</v>
      </c>
      <c r="I14" s="1">
        <v>1500</v>
      </c>
      <c r="J14" s="1">
        <v>63234</v>
      </c>
      <c r="K14" s="1">
        <v>2750</v>
      </c>
      <c r="L14" s="1">
        <v>2750</v>
      </c>
      <c r="M14" s="1" t="s">
        <v>46</v>
      </c>
      <c r="N14" s="1">
        <v>80000</v>
      </c>
      <c r="O14" s="1">
        <v>16000</v>
      </c>
      <c r="P14" s="1">
        <v>38000</v>
      </c>
      <c r="Q14" s="1">
        <v>2013</v>
      </c>
      <c r="R14" s="1" t="s">
        <v>46</v>
      </c>
      <c r="S14" s="1" t="s">
        <v>162</v>
      </c>
      <c r="T14" s="1" t="s">
        <v>145</v>
      </c>
      <c r="U14" s="1" t="s">
        <v>146</v>
      </c>
      <c r="V14" s="1" t="s">
        <v>163</v>
      </c>
      <c r="W14" s="1" t="s">
        <v>164</v>
      </c>
      <c r="X14" s="1" t="s">
        <v>51</v>
      </c>
      <c r="Y14" s="1" t="s">
        <v>52</v>
      </c>
      <c r="Z14" s="1">
        <v>412109</v>
      </c>
      <c r="AA14" s="1">
        <v>47</v>
      </c>
      <c r="AB14" s="1">
        <v>7.2916666666666671E-2</v>
      </c>
      <c r="AC14" s="1">
        <v>85</v>
      </c>
      <c r="AD14" s="1">
        <v>50</v>
      </c>
      <c r="AE14" s="1" t="s">
        <v>53</v>
      </c>
      <c r="AF14" s="1" t="s">
        <v>46</v>
      </c>
      <c r="AG14" s="1" t="s">
        <v>46</v>
      </c>
      <c r="AH14" s="1" t="s">
        <v>46</v>
      </c>
      <c r="AI14" s="1" t="s">
        <v>165</v>
      </c>
      <c r="AJ14" s="1" t="s">
        <v>166</v>
      </c>
      <c r="AK14" s="1" t="s">
        <v>46</v>
      </c>
      <c r="AL14" s="1" t="s">
        <v>46</v>
      </c>
      <c r="AN14" s="1" t="s">
        <v>90</v>
      </c>
      <c r="AO14" s="1" t="s">
        <v>55</v>
      </c>
      <c r="AP14" s="1">
        <v>32367</v>
      </c>
      <c r="AQ14" s="1">
        <v>89009250</v>
      </c>
      <c r="AR14" s="1">
        <v>38760000</v>
      </c>
      <c r="AS14" s="1">
        <v>960000</v>
      </c>
      <c r="AT14" s="1">
        <v>9600000</v>
      </c>
      <c r="AU14" s="1">
        <v>49320000</v>
      </c>
      <c r="AV14" s="1">
        <v>39689250</v>
      </c>
    </row>
    <row r="15" spans="1:48" s="1" customFormat="1" x14ac:dyDescent="0.35">
      <c r="A15" s="1">
        <v>14</v>
      </c>
      <c r="B15" s="1" t="s">
        <v>167</v>
      </c>
      <c r="C15" s="1" t="s">
        <v>168</v>
      </c>
      <c r="D15" s="1" t="s">
        <v>169</v>
      </c>
      <c r="E15" s="1" t="s">
        <v>42</v>
      </c>
      <c r="F15" s="1" t="s">
        <v>170</v>
      </c>
      <c r="G15" s="1" t="s">
        <v>70</v>
      </c>
      <c r="H15" s="1" t="s">
        <v>161</v>
      </c>
      <c r="I15" s="1">
        <v>44497</v>
      </c>
      <c r="J15" s="1">
        <v>52393</v>
      </c>
      <c r="K15" s="1">
        <v>2800</v>
      </c>
      <c r="L15" s="1">
        <v>2500</v>
      </c>
      <c r="M15" s="1" t="s">
        <v>46</v>
      </c>
      <c r="N15" s="1">
        <v>75000</v>
      </c>
      <c r="O15" s="1">
        <v>15000</v>
      </c>
      <c r="P15" s="1">
        <v>36000</v>
      </c>
      <c r="Q15" s="1">
        <v>2009</v>
      </c>
      <c r="R15" s="1" t="s">
        <v>171</v>
      </c>
      <c r="S15" s="1" t="s">
        <v>172</v>
      </c>
      <c r="T15" s="1" t="s">
        <v>173</v>
      </c>
      <c r="U15" s="1" t="s">
        <v>174</v>
      </c>
      <c r="X15" s="1" t="s">
        <v>51</v>
      </c>
      <c r="Y15" s="1" t="s">
        <v>52</v>
      </c>
      <c r="Z15" s="1">
        <v>412101</v>
      </c>
      <c r="AA15" s="1">
        <v>60</v>
      </c>
      <c r="AB15" s="1">
        <v>8.3333333333333329E-2</v>
      </c>
      <c r="AC15" s="1">
        <v>89</v>
      </c>
      <c r="AD15" s="1">
        <v>46</v>
      </c>
      <c r="AE15" s="1" t="s">
        <v>175</v>
      </c>
      <c r="AF15" s="1" t="s">
        <v>46</v>
      </c>
      <c r="AG15" s="1" t="s">
        <v>46</v>
      </c>
      <c r="AH15" s="1" t="s">
        <v>46</v>
      </c>
      <c r="AI15" s="1" t="s">
        <v>176</v>
      </c>
      <c r="AJ15" s="1" t="s">
        <v>177</v>
      </c>
      <c r="AK15" s="1" t="s">
        <v>46</v>
      </c>
      <c r="AL15" s="1" t="s">
        <v>46</v>
      </c>
      <c r="AN15" s="1" t="s">
        <v>120</v>
      </c>
      <c r="AO15" s="1" t="s">
        <v>55</v>
      </c>
      <c r="AP15" s="1">
        <v>48445</v>
      </c>
      <c r="AQ15" s="1">
        <v>121112500</v>
      </c>
      <c r="AR15" s="1">
        <v>38448000</v>
      </c>
      <c r="AS15" s="1">
        <v>900000</v>
      </c>
      <c r="AT15" s="1">
        <v>8280000</v>
      </c>
      <c r="AU15" s="1">
        <v>47628000</v>
      </c>
      <c r="AV15" s="1">
        <v>73484500</v>
      </c>
    </row>
    <row r="16" spans="1:48" s="1" customFormat="1" x14ac:dyDescent="0.35">
      <c r="A16" s="1">
        <v>15</v>
      </c>
      <c r="B16" s="1" t="s">
        <v>178</v>
      </c>
      <c r="C16" s="1" t="s">
        <v>179</v>
      </c>
      <c r="D16" s="1" t="s">
        <v>180</v>
      </c>
      <c r="E16" s="1" t="s">
        <v>42</v>
      </c>
      <c r="F16" s="1" t="s">
        <v>181</v>
      </c>
      <c r="G16" s="1" t="s">
        <v>182</v>
      </c>
      <c r="H16" s="1" t="s">
        <v>183</v>
      </c>
      <c r="I16" s="1">
        <v>50000</v>
      </c>
      <c r="J16" s="1">
        <v>74200</v>
      </c>
      <c r="K16" s="1">
        <v>1500</v>
      </c>
      <c r="L16" s="1">
        <v>1350</v>
      </c>
      <c r="M16" s="1" t="s">
        <v>46</v>
      </c>
      <c r="N16" s="1">
        <v>100000</v>
      </c>
      <c r="O16" s="1">
        <v>18000</v>
      </c>
      <c r="P16" s="1">
        <v>48000</v>
      </c>
      <c r="Q16" s="1">
        <v>2014</v>
      </c>
      <c r="R16" s="1" t="s">
        <v>184</v>
      </c>
      <c r="S16" s="1" t="s">
        <v>185</v>
      </c>
      <c r="T16" s="1" t="s">
        <v>64</v>
      </c>
      <c r="U16" s="1" t="s">
        <v>186</v>
      </c>
      <c r="X16" s="1" t="s">
        <v>51</v>
      </c>
      <c r="Y16" s="1" t="s">
        <v>52</v>
      </c>
      <c r="Z16" s="1">
        <v>412109</v>
      </c>
      <c r="AA16" s="1">
        <v>35</v>
      </c>
      <c r="AB16" s="1">
        <v>6.5972222222222224E-2</v>
      </c>
      <c r="AC16" s="1">
        <v>48</v>
      </c>
      <c r="AD16" s="1">
        <v>25</v>
      </c>
      <c r="AE16" s="1" t="s">
        <v>53</v>
      </c>
      <c r="AF16" s="1" t="s">
        <v>46</v>
      </c>
      <c r="AG16" s="1" t="s">
        <v>46</v>
      </c>
      <c r="AH16" s="1" t="s">
        <v>46</v>
      </c>
      <c r="AI16" s="1" t="s">
        <v>187</v>
      </c>
      <c r="AJ16" s="1" t="s">
        <v>188</v>
      </c>
      <c r="AK16" s="1" t="s">
        <v>46</v>
      </c>
      <c r="AL16" s="1" t="s">
        <v>46</v>
      </c>
      <c r="AN16" s="1" t="s">
        <v>110</v>
      </c>
      <c r="AO16" s="1" t="s">
        <v>55</v>
      </c>
      <c r="AP16" s="1">
        <v>62100</v>
      </c>
      <c r="AQ16" s="1">
        <v>83835000</v>
      </c>
      <c r="AR16" s="1">
        <v>27648000</v>
      </c>
      <c r="AS16" s="1">
        <v>1200000</v>
      </c>
      <c r="AT16" s="1">
        <v>5400000</v>
      </c>
      <c r="AU16" s="1">
        <v>34248000</v>
      </c>
      <c r="AV16" s="1">
        <v>49587000</v>
      </c>
    </row>
    <row r="17" spans="1:48" s="1" customFormat="1" x14ac:dyDescent="0.35">
      <c r="A17" s="1">
        <v>16</v>
      </c>
      <c r="B17" s="1" t="s">
        <v>189</v>
      </c>
      <c r="C17" s="1" t="s">
        <v>190</v>
      </c>
      <c r="D17" s="1" t="s">
        <v>191</v>
      </c>
      <c r="E17" s="1" t="s">
        <v>42</v>
      </c>
      <c r="F17" s="1" t="s">
        <v>192</v>
      </c>
      <c r="G17" s="1" t="s">
        <v>193</v>
      </c>
      <c r="H17" s="1" t="s">
        <v>61</v>
      </c>
      <c r="I17" s="1">
        <v>60900</v>
      </c>
      <c r="J17" s="1">
        <v>167400</v>
      </c>
      <c r="K17" s="1">
        <v>1100</v>
      </c>
      <c r="L17" s="1">
        <v>750</v>
      </c>
      <c r="M17" s="1" t="s">
        <v>46</v>
      </c>
      <c r="N17" s="1">
        <v>145000</v>
      </c>
      <c r="O17" s="1">
        <v>22000</v>
      </c>
      <c r="P17" s="1">
        <v>65000</v>
      </c>
      <c r="Q17" s="1">
        <v>2016</v>
      </c>
      <c r="R17" s="1" t="s">
        <v>194</v>
      </c>
      <c r="S17" s="1" t="s">
        <v>195</v>
      </c>
      <c r="T17" s="1" t="s">
        <v>64</v>
      </c>
      <c r="U17" s="1" t="s">
        <v>138</v>
      </c>
      <c r="V17" s="1" t="s">
        <v>139</v>
      </c>
      <c r="W17" s="1" t="s">
        <v>140</v>
      </c>
      <c r="X17" s="1" t="s">
        <v>51</v>
      </c>
      <c r="Y17" s="1" t="s">
        <v>52</v>
      </c>
      <c r="Z17" s="1">
        <v>412109</v>
      </c>
      <c r="AA17" s="1">
        <v>30</v>
      </c>
      <c r="AB17" s="1">
        <v>6.25E-2</v>
      </c>
      <c r="AC17" s="1">
        <v>27</v>
      </c>
      <c r="AD17" s="1">
        <v>14</v>
      </c>
      <c r="AE17" s="1" t="s">
        <v>53</v>
      </c>
      <c r="AF17" s="1" t="s">
        <v>46</v>
      </c>
      <c r="AG17" s="1" t="s">
        <v>46</v>
      </c>
      <c r="AH17" s="1" t="s">
        <v>46</v>
      </c>
      <c r="AI17" s="1">
        <v>161982.859</v>
      </c>
      <c r="AJ17" s="1">
        <v>121481.493</v>
      </c>
      <c r="AK17" s="1" t="s">
        <v>46</v>
      </c>
      <c r="AL17" s="1" t="s">
        <v>46</v>
      </c>
      <c r="AN17" s="1" t="s">
        <v>196</v>
      </c>
      <c r="AO17" s="1" t="s">
        <v>55</v>
      </c>
      <c r="AP17" s="1">
        <v>114150</v>
      </c>
      <c r="AQ17" s="1">
        <v>85612500</v>
      </c>
      <c r="AR17" s="1">
        <v>21060000</v>
      </c>
      <c r="AS17" s="1">
        <v>1740000</v>
      </c>
      <c r="AT17" s="1">
        <v>3696000</v>
      </c>
      <c r="AU17" s="1">
        <v>26496000</v>
      </c>
      <c r="AV17" s="1">
        <v>59116500</v>
      </c>
    </row>
    <row r="18" spans="1:48" s="1" customFormat="1" x14ac:dyDescent="0.35">
      <c r="A18" s="1">
        <v>17</v>
      </c>
      <c r="B18" s="1" t="s">
        <v>197</v>
      </c>
      <c r="C18" s="1" t="s">
        <v>198</v>
      </c>
      <c r="D18" s="1" t="s">
        <v>199</v>
      </c>
      <c r="E18" s="1" t="s">
        <v>42</v>
      </c>
      <c r="F18" s="1" t="s">
        <v>200</v>
      </c>
      <c r="G18" s="1" t="s">
        <v>44</v>
      </c>
      <c r="H18" s="1" t="s">
        <v>183</v>
      </c>
      <c r="I18" s="1">
        <v>30000</v>
      </c>
      <c r="J18" s="1">
        <v>63234</v>
      </c>
      <c r="K18" s="1">
        <v>2500</v>
      </c>
      <c r="L18" s="1">
        <v>1890</v>
      </c>
      <c r="M18" s="1" t="s">
        <v>46</v>
      </c>
      <c r="N18" s="1">
        <v>80000</v>
      </c>
      <c r="O18" s="1">
        <v>16000</v>
      </c>
      <c r="P18" s="1">
        <v>38000</v>
      </c>
      <c r="Q18" s="1">
        <v>2005</v>
      </c>
      <c r="R18" s="1" t="s">
        <v>201</v>
      </c>
      <c r="S18" s="1" t="s">
        <v>202</v>
      </c>
      <c r="T18" s="1" t="s">
        <v>64</v>
      </c>
      <c r="U18" s="1" t="s">
        <v>203</v>
      </c>
      <c r="V18" s="1" t="s">
        <v>65</v>
      </c>
      <c r="W18" s="1" t="s">
        <v>204</v>
      </c>
      <c r="X18" s="1" t="s">
        <v>51</v>
      </c>
      <c r="Y18" s="1" t="s">
        <v>52</v>
      </c>
      <c r="Z18" s="1">
        <v>412109</v>
      </c>
      <c r="AA18" s="1">
        <v>38</v>
      </c>
      <c r="AB18" s="1">
        <v>4.4444444444444446E-2</v>
      </c>
      <c r="AC18" s="1">
        <v>68</v>
      </c>
      <c r="AD18" s="1">
        <v>34</v>
      </c>
      <c r="AE18" s="1" t="s">
        <v>53</v>
      </c>
      <c r="AF18" s="1" t="s">
        <v>46</v>
      </c>
      <c r="AG18" s="1" t="s">
        <v>46</v>
      </c>
      <c r="AH18" s="1" t="s">
        <v>46</v>
      </c>
      <c r="AI18" s="1">
        <v>156959.342</v>
      </c>
      <c r="AJ18" s="1">
        <v>78479.670800000007</v>
      </c>
      <c r="AK18" s="1" t="s">
        <v>46</v>
      </c>
      <c r="AL18" s="1" t="s">
        <v>46</v>
      </c>
      <c r="AN18" s="1" t="s">
        <v>110</v>
      </c>
      <c r="AO18" s="1" t="s">
        <v>55</v>
      </c>
      <c r="AP18" s="1">
        <v>46617</v>
      </c>
      <c r="AQ18" s="1">
        <v>88106130</v>
      </c>
      <c r="AR18" s="1">
        <v>31008000</v>
      </c>
      <c r="AS18" s="1">
        <v>960000</v>
      </c>
      <c r="AT18" s="1">
        <v>6528000</v>
      </c>
      <c r="AU18" s="1">
        <v>38496000</v>
      </c>
      <c r="AV18" s="1">
        <v>49610130</v>
      </c>
    </row>
    <row r="19" spans="1:48" s="1" customFormat="1" x14ac:dyDescent="0.35">
      <c r="A19" s="1">
        <v>18</v>
      </c>
      <c r="B19" s="1" t="s">
        <v>205</v>
      </c>
      <c r="C19" s="1" t="s">
        <v>206</v>
      </c>
      <c r="D19" s="1" t="s">
        <v>207</v>
      </c>
      <c r="E19" s="1" t="s">
        <v>42</v>
      </c>
      <c r="F19" s="1" t="s">
        <v>208</v>
      </c>
      <c r="G19" s="1" t="s">
        <v>209</v>
      </c>
      <c r="H19" s="1" t="s">
        <v>85</v>
      </c>
      <c r="I19" s="1">
        <v>63000</v>
      </c>
      <c r="J19" s="1">
        <v>90800</v>
      </c>
      <c r="K19" s="1">
        <v>1400</v>
      </c>
      <c r="L19" s="1">
        <v>850</v>
      </c>
      <c r="M19" s="1" t="s">
        <v>46</v>
      </c>
      <c r="N19" s="1">
        <v>110000</v>
      </c>
      <c r="O19" s="1">
        <v>20000</v>
      </c>
      <c r="P19" s="1">
        <v>52000</v>
      </c>
      <c r="Q19" s="1">
        <v>2013</v>
      </c>
      <c r="R19" s="1" t="s">
        <v>210</v>
      </c>
      <c r="S19" s="1" t="s">
        <v>211</v>
      </c>
      <c r="T19" s="1" t="s">
        <v>64</v>
      </c>
      <c r="U19" s="1" t="s">
        <v>65</v>
      </c>
      <c r="X19" s="1" t="s">
        <v>51</v>
      </c>
      <c r="Y19" s="1" t="s">
        <v>52</v>
      </c>
      <c r="Z19" s="1">
        <v>412109</v>
      </c>
      <c r="AA19" s="1">
        <v>36</v>
      </c>
      <c r="AB19" s="1">
        <v>4.4444444444444446E-2</v>
      </c>
      <c r="AC19" s="1">
        <v>30</v>
      </c>
      <c r="AD19" s="1">
        <v>16</v>
      </c>
      <c r="AE19" s="1" t="s">
        <v>53</v>
      </c>
      <c r="AF19" s="1" t="s">
        <v>46</v>
      </c>
      <c r="AG19" s="1" t="s">
        <v>46</v>
      </c>
      <c r="AH19" s="1" t="s">
        <v>46</v>
      </c>
      <c r="AI19" s="1">
        <v>43055.6417</v>
      </c>
      <c r="AJ19" s="1">
        <v>30909</v>
      </c>
      <c r="AK19" s="1" t="s">
        <v>46</v>
      </c>
      <c r="AL19" s="1" t="s">
        <v>46</v>
      </c>
      <c r="AN19" s="1" t="s">
        <v>212</v>
      </c>
      <c r="AO19" s="1" t="s">
        <v>55</v>
      </c>
      <c r="AP19" s="1">
        <v>76900</v>
      </c>
      <c r="AQ19" s="1">
        <v>65365000</v>
      </c>
      <c r="AR19" s="1">
        <v>18720000</v>
      </c>
      <c r="AS19" s="1">
        <v>1320000</v>
      </c>
      <c r="AT19" s="1">
        <v>3840000</v>
      </c>
      <c r="AU19" s="1">
        <v>23880000</v>
      </c>
      <c r="AV19" s="1">
        <v>41485000</v>
      </c>
    </row>
    <row r="20" spans="1:48" s="1" customFormat="1" x14ac:dyDescent="0.35">
      <c r="A20" s="1">
        <v>19</v>
      </c>
      <c r="B20" s="1" t="s">
        <v>213</v>
      </c>
      <c r="C20" s="1" t="s">
        <v>214</v>
      </c>
      <c r="D20" s="1" t="s">
        <v>215</v>
      </c>
      <c r="E20" s="1" t="s">
        <v>42</v>
      </c>
      <c r="F20" s="1" t="s">
        <v>216</v>
      </c>
      <c r="G20" s="1" t="s">
        <v>217</v>
      </c>
      <c r="H20" s="1" t="s">
        <v>218</v>
      </c>
      <c r="I20" s="1">
        <v>23000</v>
      </c>
      <c r="J20" s="1">
        <v>29000</v>
      </c>
      <c r="K20" s="1">
        <v>600</v>
      </c>
      <c r="L20" s="1">
        <v>560</v>
      </c>
      <c r="M20" s="1" t="s">
        <v>46</v>
      </c>
      <c r="N20" s="1">
        <v>45000</v>
      </c>
      <c r="O20" s="1">
        <v>12000</v>
      </c>
      <c r="P20" s="1">
        <v>18000</v>
      </c>
      <c r="Q20" s="1">
        <v>2009</v>
      </c>
      <c r="R20" s="1" t="s">
        <v>219</v>
      </c>
      <c r="S20" s="1" t="s">
        <v>137</v>
      </c>
      <c r="T20" s="1" t="s">
        <v>49</v>
      </c>
      <c r="U20" s="1" t="s">
        <v>65</v>
      </c>
      <c r="X20" s="1" t="s">
        <v>51</v>
      </c>
      <c r="Y20" s="1" t="s">
        <v>52</v>
      </c>
      <c r="Z20" s="1">
        <v>412109</v>
      </c>
      <c r="AA20" s="1">
        <v>28</v>
      </c>
      <c r="AB20" s="1">
        <v>6.25E-2</v>
      </c>
      <c r="AC20" s="1">
        <v>20</v>
      </c>
      <c r="AD20" s="1">
        <v>10</v>
      </c>
      <c r="AE20" s="1" t="s">
        <v>53</v>
      </c>
      <c r="AF20" s="1" t="s">
        <v>46</v>
      </c>
      <c r="AG20" s="1" t="s">
        <v>46</v>
      </c>
      <c r="AH20" s="1" t="s">
        <v>46</v>
      </c>
      <c r="AI20" s="1" t="s">
        <v>220</v>
      </c>
      <c r="AJ20" s="1" t="s">
        <v>221</v>
      </c>
      <c r="AK20" s="1" t="s">
        <v>46</v>
      </c>
      <c r="AL20" s="1" t="s">
        <v>46</v>
      </c>
      <c r="AN20" s="1" t="s">
        <v>120</v>
      </c>
      <c r="AO20" s="1" t="s">
        <v>55</v>
      </c>
      <c r="AP20" s="1">
        <v>26000</v>
      </c>
      <c r="AQ20" s="1">
        <v>14560000</v>
      </c>
      <c r="AR20" s="1">
        <v>4320000</v>
      </c>
      <c r="AS20" s="1">
        <v>540000</v>
      </c>
      <c r="AT20" s="1">
        <v>1440000</v>
      </c>
      <c r="AU20" s="1">
        <v>6300000</v>
      </c>
      <c r="AV20" s="1">
        <v>8260000</v>
      </c>
    </row>
    <row r="21" spans="1:48" s="1" customFormat="1" x14ac:dyDescent="0.35">
      <c r="A21" s="1">
        <v>20</v>
      </c>
      <c r="B21" s="1" t="s">
        <v>222</v>
      </c>
      <c r="C21" s="1" t="s">
        <v>223</v>
      </c>
      <c r="D21" s="1" t="s">
        <v>224</v>
      </c>
      <c r="E21" s="1" t="s">
        <v>42</v>
      </c>
      <c r="F21" s="1" t="s">
        <v>170</v>
      </c>
      <c r="G21" s="1" t="s">
        <v>46</v>
      </c>
      <c r="H21" s="1" t="s">
        <v>225</v>
      </c>
      <c r="I21" s="1">
        <v>200</v>
      </c>
      <c r="J21" s="1">
        <v>500</v>
      </c>
      <c r="K21" s="1">
        <v>2000</v>
      </c>
      <c r="L21" s="1">
        <v>1593</v>
      </c>
      <c r="M21" s="1" t="s">
        <v>46</v>
      </c>
      <c r="N21" s="1">
        <v>30000</v>
      </c>
      <c r="O21" s="1">
        <v>9000</v>
      </c>
      <c r="P21" s="1">
        <v>12000</v>
      </c>
      <c r="Q21" s="1">
        <v>1964</v>
      </c>
      <c r="R21" s="1" t="s">
        <v>226</v>
      </c>
      <c r="S21" s="1" t="s">
        <v>114</v>
      </c>
      <c r="T21" s="1" t="s">
        <v>173</v>
      </c>
      <c r="U21" s="1" t="s">
        <v>65</v>
      </c>
      <c r="X21" s="1" t="s">
        <v>51</v>
      </c>
      <c r="Y21" s="1" t="s">
        <v>52</v>
      </c>
      <c r="Z21" s="1">
        <v>412101</v>
      </c>
      <c r="AA21" s="1">
        <v>60</v>
      </c>
      <c r="AB21" s="1">
        <v>7.9861111111111105E-2</v>
      </c>
      <c r="AC21" s="1">
        <v>57</v>
      </c>
      <c r="AD21" s="1">
        <v>29</v>
      </c>
      <c r="AE21" s="1" t="s">
        <v>227</v>
      </c>
      <c r="AF21" s="1" t="s">
        <v>46</v>
      </c>
      <c r="AG21" s="1" t="s">
        <v>46</v>
      </c>
      <c r="AH21" s="1" t="s">
        <v>46</v>
      </c>
      <c r="AK21" s="1" t="s">
        <v>46</v>
      </c>
      <c r="AL21" s="1" t="s">
        <v>46</v>
      </c>
      <c r="AN21" s="1" t="s">
        <v>120</v>
      </c>
      <c r="AO21" s="1" t="s">
        <v>55</v>
      </c>
      <c r="AP21" s="1">
        <v>350</v>
      </c>
      <c r="AQ21" s="1">
        <v>557550</v>
      </c>
      <c r="AR21" s="1">
        <v>8208000</v>
      </c>
      <c r="AS21" s="1">
        <v>360000</v>
      </c>
      <c r="AT21" s="1">
        <v>3132000</v>
      </c>
      <c r="AU21" s="1">
        <v>11700000</v>
      </c>
      <c r="AV21" s="1">
        <v>-11142450</v>
      </c>
    </row>
    <row r="22" spans="1:48" s="1" customFormat="1" x14ac:dyDescent="0.35">
      <c r="A22" s="1">
        <v>21</v>
      </c>
      <c r="B22" s="1" t="s">
        <v>228</v>
      </c>
      <c r="C22" s="1" t="s">
        <v>229</v>
      </c>
      <c r="D22" s="1" t="s">
        <v>230</v>
      </c>
      <c r="E22" s="1" t="s">
        <v>84</v>
      </c>
      <c r="F22" s="1" t="s">
        <v>170</v>
      </c>
      <c r="G22" s="1" t="s">
        <v>231</v>
      </c>
      <c r="H22" s="1" t="s">
        <v>218</v>
      </c>
      <c r="I22" s="1">
        <v>5000</v>
      </c>
      <c r="J22" s="1">
        <v>22400</v>
      </c>
      <c r="K22" s="1">
        <v>3000</v>
      </c>
      <c r="L22" s="1">
        <v>1993</v>
      </c>
      <c r="M22" s="1" t="s">
        <v>46</v>
      </c>
      <c r="N22" s="1">
        <v>40000</v>
      </c>
      <c r="O22" s="1">
        <v>11000</v>
      </c>
      <c r="P22" s="1">
        <v>16000</v>
      </c>
      <c r="Q22" s="1">
        <v>1953</v>
      </c>
      <c r="R22" s="1" t="s">
        <v>232</v>
      </c>
      <c r="S22" s="1" t="s">
        <v>233</v>
      </c>
      <c r="T22" s="1" t="s">
        <v>173</v>
      </c>
      <c r="U22" s="1" t="s">
        <v>234</v>
      </c>
      <c r="X22" s="1" t="s">
        <v>51</v>
      </c>
      <c r="Y22" s="1" t="s">
        <v>52</v>
      </c>
      <c r="Z22" s="1">
        <v>412101</v>
      </c>
      <c r="AA22" s="1">
        <v>55</v>
      </c>
      <c r="AB22" s="1">
        <v>7.9861111111111105E-2</v>
      </c>
      <c r="AC22" s="1">
        <v>62</v>
      </c>
      <c r="AD22" s="1">
        <v>36</v>
      </c>
      <c r="AE22" s="1" t="s">
        <v>53</v>
      </c>
      <c r="AF22" s="1" t="s">
        <v>46</v>
      </c>
      <c r="AG22" s="1" t="s">
        <v>46</v>
      </c>
      <c r="AH22" s="1" t="s">
        <v>46</v>
      </c>
      <c r="AI22" s="1" t="s">
        <v>235</v>
      </c>
      <c r="AJ22" s="1" t="s">
        <v>236</v>
      </c>
      <c r="AK22" s="1" t="s">
        <v>46</v>
      </c>
      <c r="AL22" s="1" t="s">
        <v>46</v>
      </c>
      <c r="AN22" s="1" t="s">
        <v>110</v>
      </c>
      <c r="AO22" s="1" t="s">
        <v>55</v>
      </c>
      <c r="AP22" s="1">
        <v>13700</v>
      </c>
      <c r="AQ22" s="1">
        <v>27304100</v>
      </c>
      <c r="AR22" s="1">
        <v>11904000</v>
      </c>
      <c r="AS22" s="1">
        <v>480000</v>
      </c>
      <c r="AT22" s="1">
        <v>4752000</v>
      </c>
      <c r="AU22" s="1">
        <v>17136000</v>
      </c>
      <c r="AV22" s="1">
        <v>10168100</v>
      </c>
    </row>
    <row r="23" spans="1:48" s="1" customFormat="1" x14ac:dyDescent="0.35">
      <c r="A23" s="1">
        <v>22</v>
      </c>
      <c r="B23" s="1" t="s">
        <v>237</v>
      </c>
      <c r="C23" s="1" t="s">
        <v>238</v>
      </c>
      <c r="D23" s="1" t="s">
        <v>239</v>
      </c>
      <c r="E23" s="1" t="s">
        <v>42</v>
      </c>
      <c r="F23" s="1" t="s">
        <v>170</v>
      </c>
      <c r="G23" s="1" t="s">
        <v>70</v>
      </c>
      <c r="H23" s="1" t="s">
        <v>225</v>
      </c>
      <c r="I23" s="1">
        <v>200</v>
      </c>
      <c r="J23" s="1">
        <v>500</v>
      </c>
      <c r="K23" s="1">
        <v>2000</v>
      </c>
      <c r="L23" s="1">
        <v>1440</v>
      </c>
      <c r="M23" s="1" t="s">
        <v>46</v>
      </c>
      <c r="N23" s="1">
        <v>30000</v>
      </c>
      <c r="O23" s="1">
        <v>9000</v>
      </c>
      <c r="P23" s="1">
        <v>12000</v>
      </c>
      <c r="Q23" s="1">
        <v>1964</v>
      </c>
      <c r="R23" s="1" t="s">
        <v>240</v>
      </c>
      <c r="S23" s="1" t="s">
        <v>241</v>
      </c>
      <c r="T23" s="1" t="s">
        <v>173</v>
      </c>
      <c r="U23" s="1" t="s">
        <v>65</v>
      </c>
      <c r="X23" s="1" t="s">
        <v>51</v>
      </c>
      <c r="Y23" s="1" t="s">
        <v>52</v>
      </c>
      <c r="Z23" s="1">
        <v>412101</v>
      </c>
      <c r="AA23" s="1">
        <v>70</v>
      </c>
      <c r="AB23" s="1">
        <v>7.9861111111111105E-2</v>
      </c>
      <c r="AC23" s="1">
        <v>51</v>
      </c>
      <c r="AD23" s="1">
        <v>26</v>
      </c>
      <c r="AE23" s="1" t="s">
        <v>227</v>
      </c>
      <c r="AF23" s="1" t="s">
        <v>46</v>
      </c>
      <c r="AG23" s="1" t="s">
        <v>46</v>
      </c>
      <c r="AH23" s="1" t="s">
        <v>46</v>
      </c>
      <c r="AJ23" s="1" t="s">
        <v>242</v>
      </c>
      <c r="AK23" s="1" t="s">
        <v>46</v>
      </c>
      <c r="AL23" s="1" t="s">
        <v>46</v>
      </c>
      <c r="AN23" s="1" t="s">
        <v>90</v>
      </c>
      <c r="AO23" s="1" t="s">
        <v>55</v>
      </c>
      <c r="AP23" s="1">
        <v>350</v>
      </c>
      <c r="AQ23" s="1">
        <v>504000</v>
      </c>
      <c r="AR23" s="1">
        <v>7344000</v>
      </c>
      <c r="AS23" s="1">
        <v>360000</v>
      </c>
      <c r="AT23" s="1">
        <v>2808000</v>
      </c>
      <c r="AU23" s="1">
        <v>10512000</v>
      </c>
      <c r="AV23" s="1">
        <v>-10008000</v>
      </c>
    </row>
    <row r="24" spans="1:48" s="1" customFormat="1" x14ac:dyDescent="0.35">
      <c r="A24" s="1">
        <v>23</v>
      </c>
      <c r="B24" s="1" t="s">
        <v>243</v>
      </c>
      <c r="C24" s="1" t="s">
        <v>244</v>
      </c>
      <c r="E24" s="1" t="s">
        <v>84</v>
      </c>
      <c r="F24" s="1" t="s">
        <v>46</v>
      </c>
      <c r="G24" s="1" t="s">
        <v>70</v>
      </c>
      <c r="H24" s="1" t="s">
        <v>218</v>
      </c>
      <c r="I24" s="1">
        <v>6000</v>
      </c>
      <c r="J24" s="1">
        <v>18000</v>
      </c>
      <c r="K24" s="1">
        <v>2000</v>
      </c>
      <c r="L24" s="1">
        <v>1060</v>
      </c>
      <c r="M24" s="1" t="s">
        <v>46</v>
      </c>
      <c r="N24" s="1">
        <v>40000</v>
      </c>
      <c r="O24" s="1">
        <v>11000</v>
      </c>
      <c r="P24" s="1">
        <v>15000</v>
      </c>
      <c r="Q24" s="1">
        <v>2024</v>
      </c>
      <c r="R24" s="1" t="s">
        <v>46</v>
      </c>
      <c r="S24" s="1" t="s">
        <v>233</v>
      </c>
      <c r="T24" s="1" t="s">
        <v>49</v>
      </c>
      <c r="U24" s="1" t="s">
        <v>245</v>
      </c>
      <c r="V24" s="1" t="s">
        <v>246</v>
      </c>
      <c r="X24" s="1" t="s">
        <v>51</v>
      </c>
      <c r="Y24" s="1" t="s">
        <v>52</v>
      </c>
      <c r="Z24" s="1">
        <v>411062</v>
      </c>
      <c r="AA24" s="1">
        <v>35</v>
      </c>
      <c r="AB24" s="1">
        <v>6.25E-2</v>
      </c>
      <c r="AC24" s="1">
        <v>33</v>
      </c>
      <c r="AD24" s="1">
        <v>19</v>
      </c>
      <c r="AE24" s="1" t="s">
        <v>53</v>
      </c>
      <c r="AF24" s="1" t="s">
        <v>46</v>
      </c>
      <c r="AG24" s="1" t="s">
        <v>46</v>
      </c>
      <c r="AH24" s="1" t="s">
        <v>46</v>
      </c>
      <c r="AI24" s="1" t="s">
        <v>247</v>
      </c>
      <c r="AJ24" s="1" t="s">
        <v>248</v>
      </c>
      <c r="AK24" s="1" t="s">
        <v>46</v>
      </c>
      <c r="AL24" s="1" t="s">
        <v>46</v>
      </c>
      <c r="AN24" s="1" t="s">
        <v>81</v>
      </c>
      <c r="AO24" s="1" t="s">
        <v>55</v>
      </c>
      <c r="AP24" s="1">
        <v>12000</v>
      </c>
      <c r="AQ24" s="1">
        <v>12720000</v>
      </c>
      <c r="AR24" s="1">
        <v>5940000</v>
      </c>
      <c r="AS24" s="1">
        <v>480000</v>
      </c>
      <c r="AT24" s="1">
        <v>2508000</v>
      </c>
      <c r="AU24" s="1">
        <v>8928000</v>
      </c>
      <c r="AV24" s="1">
        <v>3792000</v>
      </c>
    </row>
    <row r="25" spans="1:48" s="1" customFormat="1" x14ac:dyDescent="0.35">
      <c r="A25" s="1">
        <v>24</v>
      </c>
      <c r="B25" s="1" t="s">
        <v>249</v>
      </c>
      <c r="C25" s="1" t="s">
        <v>250</v>
      </c>
      <c r="D25" s="1" t="s">
        <v>251</v>
      </c>
      <c r="E25" s="1" t="s">
        <v>252</v>
      </c>
      <c r="F25" s="1" t="s">
        <v>170</v>
      </c>
      <c r="G25" s="1" t="s">
        <v>231</v>
      </c>
      <c r="H25" s="1" t="s">
        <v>225</v>
      </c>
      <c r="I25" s="1">
        <v>25700</v>
      </c>
      <c r="J25" s="1">
        <v>45000</v>
      </c>
      <c r="K25" s="1">
        <v>1900</v>
      </c>
      <c r="L25" s="1">
        <v>1800</v>
      </c>
      <c r="M25" s="1" t="s">
        <v>46</v>
      </c>
      <c r="N25" s="1">
        <v>60000</v>
      </c>
      <c r="O25" s="1">
        <v>14000</v>
      </c>
      <c r="P25" s="1">
        <v>26000</v>
      </c>
      <c r="Q25" s="1">
        <v>2016</v>
      </c>
      <c r="R25" s="1" t="s">
        <v>253</v>
      </c>
      <c r="S25" s="1" t="s">
        <v>254</v>
      </c>
      <c r="T25" s="1" t="s">
        <v>64</v>
      </c>
      <c r="U25" s="1" t="s">
        <v>255</v>
      </c>
      <c r="X25" s="1" t="s">
        <v>51</v>
      </c>
      <c r="Y25" s="1" t="s">
        <v>52</v>
      </c>
      <c r="Z25" s="1">
        <v>412105</v>
      </c>
      <c r="AA25" s="1">
        <v>30</v>
      </c>
      <c r="AB25" s="1">
        <v>6.25E-2</v>
      </c>
      <c r="AC25" s="1">
        <v>43</v>
      </c>
      <c r="AD25" s="1">
        <v>22</v>
      </c>
      <c r="AE25" s="1" t="s">
        <v>53</v>
      </c>
      <c r="AF25" s="1" t="s">
        <v>46</v>
      </c>
      <c r="AG25" s="1" t="s">
        <v>46</v>
      </c>
      <c r="AH25" s="1" t="s">
        <v>46</v>
      </c>
      <c r="AI25" s="1" t="s">
        <v>256</v>
      </c>
      <c r="AJ25" s="1" t="s">
        <v>257</v>
      </c>
      <c r="AK25" s="1" t="s">
        <v>258</v>
      </c>
      <c r="AL25" s="1" t="s">
        <v>46</v>
      </c>
      <c r="AN25" s="1" t="s">
        <v>54</v>
      </c>
      <c r="AO25" s="1" t="s">
        <v>55</v>
      </c>
      <c r="AP25" s="1">
        <v>35350</v>
      </c>
      <c r="AQ25" s="1">
        <v>42420000</v>
      </c>
      <c r="AR25" s="1">
        <v>13416000</v>
      </c>
      <c r="AS25" s="1">
        <v>720000</v>
      </c>
      <c r="AT25" s="1">
        <v>3696000</v>
      </c>
      <c r="AU25" s="1">
        <v>17832000</v>
      </c>
      <c r="AV25" s="1">
        <v>24588000</v>
      </c>
    </row>
    <row r="26" spans="1:48" s="1" customFormat="1" x14ac:dyDescent="0.35">
      <c r="A26" s="1">
        <v>25</v>
      </c>
      <c r="B26" s="1" t="s">
        <v>259</v>
      </c>
      <c r="C26" s="1" t="s">
        <v>260</v>
      </c>
      <c r="D26" s="1" t="s">
        <v>261</v>
      </c>
      <c r="E26" s="1" t="s">
        <v>42</v>
      </c>
      <c r="F26" s="1" t="s">
        <v>170</v>
      </c>
      <c r="G26" s="1" t="s">
        <v>70</v>
      </c>
      <c r="H26" s="1" t="s">
        <v>218</v>
      </c>
      <c r="I26" s="1">
        <v>62500</v>
      </c>
      <c r="J26" s="1">
        <v>89000</v>
      </c>
      <c r="K26" s="1">
        <v>1200</v>
      </c>
      <c r="L26" s="1">
        <v>737</v>
      </c>
      <c r="M26" s="1" t="s">
        <v>46</v>
      </c>
      <c r="N26" s="1">
        <v>110000</v>
      </c>
      <c r="O26" s="1">
        <v>20000</v>
      </c>
      <c r="P26" s="1">
        <v>52000</v>
      </c>
      <c r="Q26" s="1">
        <v>2019</v>
      </c>
      <c r="R26" s="1" t="s">
        <v>260</v>
      </c>
      <c r="S26" s="1" t="s">
        <v>155</v>
      </c>
      <c r="T26" s="1" t="s">
        <v>64</v>
      </c>
      <c r="U26" s="1" t="s">
        <v>262</v>
      </c>
      <c r="X26" s="1" t="s">
        <v>51</v>
      </c>
      <c r="Y26" s="1" t="s">
        <v>52</v>
      </c>
      <c r="Z26" s="1">
        <v>412105</v>
      </c>
      <c r="AA26" s="1">
        <v>30</v>
      </c>
      <c r="AB26" s="1">
        <v>6.25E-2</v>
      </c>
      <c r="AC26" s="1">
        <v>26</v>
      </c>
      <c r="AD26" s="1">
        <v>13</v>
      </c>
      <c r="AE26" s="1" t="s">
        <v>53</v>
      </c>
      <c r="AF26" s="1" t="s">
        <v>46</v>
      </c>
      <c r="AG26" s="1" t="s">
        <v>46</v>
      </c>
      <c r="AH26" s="1" t="s">
        <v>46</v>
      </c>
      <c r="AI26" s="1" t="s">
        <v>263</v>
      </c>
      <c r="AJ26" s="1" t="s">
        <v>264</v>
      </c>
      <c r="AK26" s="1" t="s">
        <v>46</v>
      </c>
      <c r="AL26" s="1" t="s">
        <v>46</v>
      </c>
      <c r="AN26" s="1" t="s">
        <v>90</v>
      </c>
      <c r="AO26" s="1" t="s">
        <v>55</v>
      </c>
      <c r="AP26" s="1">
        <v>75750</v>
      </c>
      <c r="AQ26" s="1">
        <v>55827750</v>
      </c>
      <c r="AR26" s="1">
        <v>16224000</v>
      </c>
      <c r="AS26" s="1">
        <v>1320000</v>
      </c>
      <c r="AT26" s="1">
        <v>3120000</v>
      </c>
      <c r="AU26" s="1">
        <v>20664000</v>
      </c>
      <c r="AV26" s="1">
        <v>35163750</v>
      </c>
    </row>
    <row r="27" spans="1:48" s="1" customFormat="1" x14ac:dyDescent="0.35">
      <c r="A27" s="1">
        <v>26</v>
      </c>
      <c r="B27" s="1" t="s">
        <v>265</v>
      </c>
      <c r="C27" s="1" t="s">
        <v>266</v>
      </c>
      <c r="D27" s="1" t="s">
        <v>267</v>
      </c>
      <c r="E27" s="1" t="s">
        <v>84</v>
      </c>
      <c r="F27" s="1" t="s">
        <v>170</v>
      </c>
      <c r="G27" s="1" t="s">
        <v>70</v>
      </c>
      <c r="H27" s="1" t="s">
        <v>268</v>
      </c>
      <c r="I27" s="1">
        <v>24000</v>
      </c>
      <c r="J27" s="1">
        <v>29000</v>
      </c>
      <c r="K27" s="1">
        <v>900</v>
      </c>
      <c r="L27" s="1">
        <v>590</v>
      </c>
      <c r="M27" s="1" t="s">
        <v>46</v>
      </c>
      <c r="N27" s="1">
        <v>45000</v>
      </c>
      <c r="O27" s="1">
        <v>12000</v>
      </c>
      <c r="P27" s="1">
        <v>18000</v>
      </c>
      <c r="Q27" s="1">
        <v>2016</v>
      </c>
      <c r="R27" s="1" t="s">
        <v>269</v>
      </c>
      <c r="S27" s="1" t="s">
        <v>270</v>
      </c>
      <c r="T27" s="1" t="s">
        <v>64</v>
      </c>
      <c r="U27" s="1" t="s">
        <v>87</v>
      </c>
      <c r="X27" s="1" t="s">
        <v>51</v>
      </c>
      <c r="Y27" s="1" t="s">
        <v>52</v>
      </c>
      <c r="Z27" s="1">
        <v>412105</v>
      </c>
      <c r="AA27" s="1">
        <v>25</v>
      </c>
      <c r="AB27" s="1">
        <v>5.9027777777777776E-2</v>
      </c>
      <c r="AC27" s="1">
        <v>18</v>
      </c>
      <c r="AD27" s="1">
        <v>11</v>
      </c>
      <c r="AE27" s="1" t="s">
        <v>53</v>
      </c>
      <c r="AF27" s="1" t="s">
        <v>46</v>
      </c>
      <c r="AG27" s="1" t="s">
        <v>46</v>
      </c>
      <c r="AH27" s="1" t="s">
        <v>46</v>
      </c>
      <c r="AI27" s="1" t="s">
        <v>271</v>
      </c>
      <c r="AJ27" s="1" t="s">
        <v>272</v>
      </c>
      <c r="AK27" s="1" t="s">
        <v>46</v>
      </c>
      <c r="AL27" s="1" t="s">
        <v>46</v>
      </c>
      <c r="AN27" s="1" t="s">
        <v>120</v>
      </c>
      <c r="AO27" s="1" t="s">
        <v>55</v>
      </c>
      <c r="AP27" s="1">
        <v>26500</v>
      </c>
      <c r="AQ27" s="1">
        <v>15635000</v>
      </c>
      <c r="AR27" s="1">
        <v>3888000</v>
      </c>
      <c r="AS27" s="1">
        <v>540000</v>
      </c>
      <c r="AT27" s="1">
        <v>1584000</v>
      </c>
      <c r="AU27" s="1">
        <v>6012000</v>
      </c>
      <c r="AV27" s="1">
        <v>9623000</v>
      </c>
    </row>
    <row r="28" spans="1:48" s="1" customFormat="1" x14ac:dyDescent="0.35">
      <c r="A28" s="1">
        <v>27</v>
      </c>
      <c r="B28" s="1" t="s">
        <v>273</v>
      </c>
      <c r="C28" s="1" t="s">
        <v>274</v>
      </c>
      <c r="D28" s="1" t="s">
        <v>275</v>
      </c>
      <c r="E28" s="1" t="s">
        <v>42</v>
      </c>
      <c r="F28" s="1" t="s">
        <v>46</v>
      </c>
      <c r="G28" s="1" t="s">
        <v>70</v>
      </c>
      <c r="H28" s="1" t="s">
        <v>276</v>
      </c>
      <c r="I28" s="1">
        <v>30000</v>
      </c>
      <c r="J28" s="1">
        <v>89000</v>
      </c>
      <c r="K28" s="1">
        <v>1200</v>
      </c>
      <c r="L28" s="1">
        <v>1120</v>
      </c>
      <c r="M28" s="1" t="s">
        <v>46</v>
      </c>
      <c r="N28" s="1">
        <v>110000</v>
      </c>
      <c r="O28" s="1">
        <v>20000</v>
      </c>
      <c r="P28" s="1">
        <v>52000</v>
      </c>
      <c r="Q28" s="1">
        <v>2010</v>
      </c>
      <c r="R28" s="1" t="s">
        <v>277</v>
      </c>
      <c r="S28" s="1" t="s">
        <v>114</v>
      </c>
      <c r="T28" s="1" t="s">
        <v>64</v>
      </c>
      <c r="U28" s="1" t="s">
        <v>88</v>
      </c>
      <c r="X28" s="1" t="s">
        <v>51</v>
      </c>
      <c r="Y28" s="1" t="s">
        <v>52</v>
      </c>
      <c r="Z28" s="1">
        <v>411062</v>
      </c>
      <c r="AA28" s="1">
        <v>40</v>
      </c>
      <c r="AB28" s="1">
        <v>6.9444444444444448E-2</v>
      </c>
      <c r="AC28" s="1">
        <v>40</v>
      </c>
      <c r="AD28" s="1">
        <v>20</v>
      </c>
      <c r="AE28" s="1" t="s">
        <v>53</v>
      </c>
      <c r="AF28" s="1" t="s">
        <v>46</v>
      </c>
      <c r="AG28" s="1" t="s">
        <v>46</v>
      </c>
      <c r="AH28" s="1" t="s">
        <v>46</v>
      </c>
      <c r="AI28" s="1" t="s">
        <v>278</v>
      </c>
      <c r="AJ28" s="1" t="s">
        <v>279</v>
      </c>
      <c r="AK28" s="1" t="s">
        <v>46</v>
      </c>
      <c r="AL28" s="1" t="s">
        <v>46</v>
      </c>
      <c r="AN28" s="1" t="s">
        <v>81</v>
      </c>
      <c r="AO28" s="1" t="s">
        <v>55</v>
      </c>
      <c r="AP28" s="1">
        <v>59500</v>
      </c>
      <c r="AQ28" s="1">
        <v>66640000</v>
      </c>
      <c r="AR28" s="1">
        <v>24960000</v>
      </c>
      <c r="AS28" s="1">
        <v>1320000</v>
      </c>
      <c r="AT28" s="1">
        <v>4800000</v>
      </c>
      <c r="AU28" s="1">
        <v>31080000</v>
      </c>
      <c r="AV28" s="1">
        <v>35560000</v>
      </c>
    </row>
    <row r="29" spans="1:48" s="1" customFormat="1" x14ac:dyDescent="0.35">
      <c r="A29" s="1">
        <v>28</v>
      </c>
      <c r="B29" s="1" t="s">
        <v>280</v>
      </c>
      <c r="C29" s="1" t="s">
        <v>281</v>
      </c>
      <c r="D29" s="1" t="s">
        <v>282</v>
      </c>
      <c r="E29" s="1" t="s">
        <v>42</v>
      </c>
      <c r="F29" s="1" t="s">
        <v>283</v>
      </c>
      <c r="G29" s="1" t="s">
        <v>44</v>
      </c>
      <c r="H29" s="1" t="s">
        <v>183</v>
      </c>
      <c r="I29" s="1">
        <v>69250</v>
      </c>
      <c r="J29" s="1">
        <v>78650</v>
      </c>
      <c r="K29" s="1">
        <v>2500</v>
      </c>
      <c r="L29" s="1">
        <v>1400</v>
      </c>
      <c r="M29" s="1" t="s">
        <v>46</v>
      </c>
      <c r="N29" s="1">
        <v>105000</v>
      </c>
      <c r="O29" s="1">
        <v>19000</v>
      </c>
      <c r="P29" s="1">
        <v>50000</v>
      </c>
      <c r="Q29" s="1">
        <v>2013</v>
      </c>
      <c r="R29" s="1" t="s">
        <v>284</v>
      </c>
      <c r="S29" s="1" t="s">
        <v>285</v>
      </c>
      <c r="T29" s="1" t="s">
        <v>49</v>
      </c>
      <c r="U29" s="1" t="s">
        <v>262</v>
      </c>
      <c r="X29" s="1" t="s">
        <v>51</v>
      </c>
      <c r="Y29" s="1" t="s">
        <v>52</v>
      </c>
      <c r="Z29" s="1">
        <v>411062</v>
      </c>
      <c r="AA29" s="1">
        <v>40</v>
      </c>
      <c r="AB29" s="1">
        <v>6.9444444444444448E-2</v>
      </c>
      <c r="AC29" s="1">
        <v>50</v>
      </c>
      <c r="AD29" s="1">
        <v>26</v>
      </c>
      <c r="AE29" s="1" t="s">
        <v>53</v>
      </c>
      <c r="AF29" s="1" t="s">
        <v>46</v>
      </c>
      <c r="AG29" s="1" t="s">
        <v>46</v>
      </c>
      <c r="AH29" s="1" t="s">
        <v>46</v>
      </c>
      <c r="AI29" s="1" t="s">
        <v>286</v>
      </c>
      <c r="AJ29" s="1" t="s">
        <v>287</v>
      </c>
      <c r="AK29" s="1" t="s">
        <v>46</v>
      </c>
      <c r="AL29" s="1" t="s">
        <v>46</v>
      </c>
      <c r="AN29" s="1" t="s">
        <v>288</v>
      </c>
      <c r="AO29" s="1" t="s">
        <v>55</v>
      </c>
      <c r="AP29" s="1">
        <v>73950</v>
      </c>
      <c r="AQ29" s="1">
        <v>103530000</v>
      </c>
      <c r="AR29" s="1">
        <v>30000000</v>
      </c>
      <c r="AS29" s="1">
        <v>1260000</v>
      </c>
      <c r="AT29" s="1">
        <v>5928000</v>
      </c>
      <c r="AU29" s="1">
        <v>37188000</v>
      </c>
      <c r="AV29" s="1">
        <v>66342000</v>
      </c>
    </row>
    <row r="30" spans="1:48" s="1" customFormat="1" x14ac:dyDescent="0.35">
      <c r="A30" s="1">
        <v>29</v>
      </c>
      <c r="B30" s="1" t="s">
        <v>249</v>
      </c>
      <c r="C30" s="1" t="s">
        <v>289</v>
      </c>
      <c r="D30" s="1" t="s">
        <v>290</v>
      </c>
      <c r="E30" s="1" t="s">
        <v>42</v>
      </c>
      <c r="F30" s="1" t="s">
        <v>46</v>
      </c>
      <c r="G30" s="1" t="s">
        <v>291</v>
      </c>
      <c r="H30" s="1" t="s">
        <v>292</v>
      </c>
      <c r="I30" s="1">
        <v>70000</v>
      </c>
      <c r="J30" s="1">
        <v>70000</v>
      </c>
      <c r="K30" s="1">
        <v>1500</v>
      </c>
      <c r="L30" s="1">
        <v>240</v>
      </c>
      <c r="M30" s="1" t="s">
        <v>46</v>
      </c>
      <c r="N30" s="1">
        <v>100000</v>
      </c>
      <c r="O30" s="1">
        <v>18000</v>
      </c>
      <c r="P30" s="1">
        <v>48000</v>
      </c>
      <c r="Q30" s="1">
        <v>2025</v>
      </c>
      <c r="R30" s="1" t="s">
        <v>293</v>
      </c>
      <c r="S30" s="1" t="s">
        <v>285</v>
      </c>
      <c r="T30" s="1" t="s">
        <v>64</v>
      </c>
      <c r="U30" s="1" t="s">
        <v>50</v>
      </c>
      <c r="X30" s="1" t="s">
        <v>51</v>
      </c>
      <c r="Y30" s="1" t="s">
        <v>52</v>
      </c>
      <c r="Z30" s="1">
        <v>412105</v>
      </c>
      <c r="AA30" s="1">
        <v>20</v>
      </c>
      <c r="AB30" s="1">
        <v>4.3055555555555555E-2</v>
      </c>
      <c r="AC30" s="1">
        <v>9</v>
      </c>
      <c r="AD30" s="1">
        <v>4</v>
      </c>
      <c r="AE30" s="1" t="s">
        <v>53</v>
      </c>
      <c r="AF30" s="1" t="s">
        <v>46</v>
      </c>
      <c r="AG30" s="1" t="s">
        <v>46</v>
      </c>
      <c r="AH30" s="1" t="s">
        <v>46</v>
      </c>
      <c r="AI30" s="1">
        <v>12000</v>
      </c>
      <c r="AJ30" s="1">
        <v>7000</v>
      </c>
      <c r="AK30" s="1" t="s">
        <v>46</v>
      </c>
      <c r="AL30" s="1" t="s">
        <v>46</v>
      </c>
      <c r="AN30" s="1" t="s">
        <v>294</v>
      </c>
      <c r="AO30" s="1" t="s">
        <v>55</v>
      </c>
      <c r="AP30" s="1">
        <v>70000</v>
      </c>
      <c r="AQ30" s="1">
        <v>16800000</v>
      </c>
      <c r="AR30" s="1">
        <v>5184000</v>
      </c>
      <c r="AS30" s="1">
        <v>1200000</v>
      </c>
      <c r="AT30" s="1">
        <v>864000</v>
      </c>
      <c r="AU30" s="1">
        <v>7248000</v>
      </c>
      <c r="AV30" s="1">
        <v>9552000</v>
      </c>
    </row>
    <row r="31" spans="1:48" s="1" customFormat="1" x14ac:dyDescent="0.35">
      <c r="A31" s="1">
        <v>30</v>
      </c>
      <c r="B31" s="1" t="s">
        <v>295</v>
      </c>
      <c r="C31" s="1" t="s">
        <v>296</v>
      </c>
      <c r="D31" s="1" t="s">
        <v>297</v>
      </c>
      <c r="E31" s="1" t="s">
        <v>42</v>
      </c>
      <c r="F31" s="1" t="s">
        <v>46</v>
      </c>
      <c r="G31" s="1" t="s">
        <v>70</v>
      </c>
      <c r="H31" s="1" t="s">
        <v>298</v>
      </c>
      <c r="I31" s="1">
        <v>74600</v>
      </c>
      <c r="J31" s="1">
        <v>74600</v>
      </c>
      <c r="K31" s="1">
        <v>1500</v>
      </c>
      <c r="L31" s="1">
        <v>1350</v>
      </c>
      <c r="M31" s="1" t="s">
        <v>46</v>
      </c>
      <c r="N31" s="1">
        <v>100000</v>
      </c>
      <c r="O31" s="1">
        <v>18000</v>
      </c>
      <c r="P31" s="1">
        <v>48000</v>
      </c>
      <c r="Q31" s="1">
        <v>2015</v>
      </c>
      <c r="R31" s="1" t="s">
        <v>299</v>
      </c>
      <c r="S31" s="1" t="s">
        <v>285</v>
      </c>
      <c r="T31" s="1" t="s">
        <v>64</v>
      </c>
      <c r="U31" s="1" t="s">
        <v>300</v>
      </c>
      <c r="V31" s="1" t="s">
        <v>301</v>
      </c>
      <c r="X31" s="1" t="s">
        <v>51</v>
      </c>
      <c r="Y31" s="1" t="s">
        <v>52</v>
      </c>
      <c r="Z31" s="1">
        <v>412105</v>
      </c>
      <c r="AA31" s="1">
        <v>30</v>
      </c>
      <c r="AB31" s="1">
        <v>4.3749999999999997E-2</v>
      </c>
      <c r="AC31" s="1">
        <v>48</v>
      </c>
      <c r="AD31" s="1">
        <v>25</v>
      </c>
      <c r="AE31" s="1" t="s">
        <v>53</v>
      </c>
      <c r="AF31" s="1" t="s">
        <v>46</v>
      </c>
      <c r="AG31" s="1" t="s">
        <v>46</v>
      </c>
      <c r="AH31" s="1" t="s">
        <v>46</v>
      </c>
      <c r="AI31" s="1">
        <v>73114.937900000004</v>
      </c>
      <c r="AJ31" s="1">
        <v>3400</v>
      </c>
      <c r="AK31" s="1" t="s">
        <v>46</v>
      </c>
      <c r="AL31" s="1" t="s">
        <v>46</v>
      </c>
      <c r="AN31" s="1" t="s">
        <v>81</v>
      </c>
      <c r="AO31" s="1" t="s">
        <v>55</v>
      </c>
      <c r="AP31" s="1">
        <v>74600</v>
      </c>
      <c r="AQ31" s="1">
        <v>100710000</v>
      </c>
      <c r="AR31" s="1">
        <v>27648000</v>
      </c>
      <c r="AS31" s="1">
        <v>1200000</v>
      </c>
      <c r="AT31" s="1">
        <v>5400000</v>
      </c>
      <c r="AU31" s="1">
        <v>34248000</v>
      </c>
      <c r="AV31" s="1">
        <v>66462000</v>
      </c>
    </row>
    <row r="32" spans="1:48" s="1" customFormat="1" x14ac:dyDescent="0.35">
      <c r="A32" s="1">
        <v>31</v>
      </c>
      <c r="B32" s="1" t="s">
        <v>302</v>
      </c>
      <c r="C32" s="1" t="s">
        <v>303</v>
      </c>
      <c r="D32" s="1" t="s">
        <v>304</v>
      </c>
      <c r="E32" s="1" t="s">
        <v>84</v>
      </c>
      <c r="F32" s="1" t="s">
        <v>46</v>
      </c>
      <c r="G32" s="1" t="s">
        <v>70</v>
      </c>
      <c r="H32" s="1" t="s">
        <v>61</v>
      </c>
      <c r="I32" s="1">
        <v>16500</v>
      </c>
      <c r="J32" s="1">
        <v>31500</v>
      </c>
      <c r="K32" s="1">
        <v>1500</v>
      </c>
      <c r="L32" s="1">
        <v>970</v>
      </c>
      <c r="M32" s="1" t="s">
        <v>46</v>
      </c>
      <c r="N32" s="1">
        <v>50000</v>
      </c>
      <c r="O32" s="1">
        <v>12000</v>
      </c>
      <c r="P32" s="1">
        <v>20000</v>
      </c>
      <c r="Q32" s="1">
        <v>2011</v>
      </c>
      <c r="R32" s="1" t="s">
        <v>305</v>
      </c>
      <c r="S32" s="1" t="s">
        <v>155</v>
      </c>
      <c r="T32" s="1" t="s">
        <v>64</v>
      </c>
      <c r="U32" s="1" t="s">
        <v>306</v>
      </c>
      <c r="X32" s="1" t="s">
        <v>51</v>
      </c>
      <c r="Y32" s="1" t="s">
        <v>52</v>
      </c>
      <c r="Z32" s="1">
        <v>412105</v>
      </c>
      <c r="AA32" s="1">
        <v>35</v>
      </c>
      <c r="AB32" s="1">
        <v>6.5972222222222224E-2</v>
      </c>
      <c r="AC32" s="1">
        <v>30</v>
      </c>
      <c r="AD32" s="1">
        <v>18</v>
      </c>
      <c r="AE32" s="1" t="s">
        <v>53</v>
      </c>
      <c r="AF32" s="1" t="s">
        <v>46</v>
      </c>
      <c r="AG32" s="1" t="s">
        <v>46</v>
      </c>
      <c r="AH32" s="1" t="s">
        <v>46</v>
      </c>
      <c r="AI32" s="1" t="s">
        <v>307</v>
      </c>
      <c r="AJ32" s="1" t="s">
        <v>308</v>
      </c>
      <c r="AK32" s="1" t="s">
        <v>46</v>
      </c>
      <c r="AL32" s="1" t="s">
        <v>46</v>
      </c>
      <c r="AN32" s="1" t="s">
        <v>110</v>
      </c>
      <c r="AO32" s="1" t="s">
        <v>55</v>
      </c>
      <c r="AP32" s="1">
        <v>24000</v>
      </c>
      <c r="AQ32" s="1">
        <v>23280000</v>
      </c>
      <c r="AR32" s="1">
        <v>7200000</v>
      </c>
      <c r="AS32" s="1">
        <v>600000</v>
      </c>
      <c r="AT32" s="1">
        <v>2592000</v>
      </c>
      <c r="AU32" s="1">
        <v>10392000</v>
      </c>
      <c r="AV32" s="1">
        <v>12888000</v>
      </c>
    </row>
    <row r="33" spans="1:48" s="1" customFormat="1" x14ac:dyDescent="0.35">
      <c r="A33" s="1">
        <v>32</v>
      </c>
      <c r="B33" s="1" t="s">
        <v>309</v>
      </c>
      <c r="C33" s="1" t="s">
        <v>310</v>
      </c>
      <c r="D33" s="1" t="s">
        <v>311</v>
      </c>
      <c r="E33" s="1" t="s">
        <v>42</v>
      </c>
      <c r="F33" s="1" t="s">
        <v>46</v>
      </c>
      <c r="G33" s="1" t="s">
        <v>70</v>
      </c>
      <c r="H33" s="1" t="s">
        <v>312</v>
      </c>
      <c r="I33" s="1">
        <v>36000</v>
      </c>
      <c r="J33" s="1">
        <v>80000</v>
      </c>
      <c r="K33" s="1">
        <v>900</v>
      </c>
      <c r="L33" s="1">
        <v>396</v>
      </c>
      <c r="M33" s="1" t="s">
        <v>46</v>
      </c>
      <c r="N33" s="1">
        <v>115000</v>
      </c>
      <c r="O33" s="1">
        <v>20000</v>
      </c>
      <c r="P33" s="1">
        <v>55000</v>
      </c>
      <c r="Q33" s="1">
        <v>2024</v>
      </c>
      <c r="R33" s="1" t="s">
        <v>313</v>
      </c>
      <c r="S33" s="1" t="s">
        <v>314</v>
      </c>
      <c r="T33" s="1" t="s">
        <v>64</v>
      </c>
      <c r="U33" s="1" t="s">
        <v>315</v>
      </c>
      <c r="X33" s="1" t="s">
        <v>51</v>
      </c>
      <c r="Y33" s="1" t="s">
        <v>52</v>
      </c>
      <c r="Z33" s="1">
        <v>412105</v>
      </c>
      <c r="AA33" s="1">
        <v>20</v>
      </c>
      <c r="AB33" s="1">
        <v>5.5555555555555552E-2</v>
      </c>
      <c r="AC33" s="1">
        <v>14</v>
      </c>
      <c r="AD33" s="1">
        <v>7</v>
      </c>
      <c r="AE33" s="1" t="s">
        <v>53</v>
      </c>
      <c r="AF33" s="1" t="s">
        <v>46</v>
      </c>
      <c r="AG33" s="1" t="s">
        <v>46</v>
      </c>
      <c r="AH33" s="1" t="s">
        <v>46</v>
      </c>
      <c r="AI33" s="1" t="s">
        <v>316</v>
      </c>
      <c r="AJ33" s="1" t="s">
        <v>317</v>
      </c>
      <c r="AK33" s="1" t="s">
        <v>46</v>
      </c>
      <c r="AL33" s="1" t="s">
        <v>46</v>
      </c>
      <c r="AN33" s="1" t="s">
        <v>318</v>
      </c>
      <c r="AO33" s="1" t="s">
        <v>55</v>
      </c>
      <c r="AP33" s="1">
        <v>58000</v>
      </c>
      <c r="AQ33" s="1">
        <v>22968000</v>
      </c>
      <c r="AR33" s="1">
        <v>9240000</v>
      </c>
      <c r="AS33" s="1">
        <v>1380000</v>
      </c>
      <c r="AT33" s="1">
        <v>1680000</v>
      </c>
      <c r="AU33" s="1">
        <v>12300000</v>
      </c>
      <c r="AV33" s="1">
        <v>10668000</v>
      </c>
    </row>
    <row r="34" spans="1:48" s="1" customFormat="1" x14ac:dyDescent="0.35">
      <c r="A34" s="1">
        <v>33</v>
      </c>
      <c r="B34" s="1" t="s">
        <v>319</v>
      </c>
      <c r="C34" s="1" t="s">
        <v>320</v>
      </c>
      <c r="D34" s="1" t="s">
        <v>321</v>
      </c>
      <c r="E34" s="1" t="s">
        <v>42</v>
      </c>
      <c r="F34" s="1" t="s">
        <v>46</v>
      </c>
      <c r="G34" s="1" t="s">
        <v>322</v>
      </c>
      <c r="H34" s="1" t="s">
        <v>298</v>
      </c>
      <c r="I34" s="1">
        <v>62000</v>
      </c>
      <c r="J34" s="1">
        <v>99000</v>
      </c>
      <c r="K34" s="1">
        <v>600</v>
      </c>
      <c r="L34" s="1">
        <v>350</v>
      </c>
      <c r="M34" s="1" t="s">
        <v>46</v>
      </c>
      <c r="N34" s="1">
        <v>120000</v>
      </c>
      <c r="O34" s="1">
        <v>21000</v>
      </c>
      <c r="P34" s="1">
        <v>58000</v>
      </c>
      <c r="Q34" s="1">
        <v>2016</v>
      </c>
      <c r="R34" s="1" t="s">
        <v>323</v>
      </c>
      <c r="S34" s="1" t="s">
        <v>324</v>
      </c>
      <c r="T34" s="1" t="s">
        <v>64</v>
      </c>
      <c r="U34" s="1" t="s">
        <v>325</v>
      </c>
      <c r="X34" s="1" t="s">
        <v>51</v>
      </c>
      <c r="Y34" s="1" t="s">
        <v>52</v>
      </c>
      <c r="Z34" s="1">
        <v>412105</v>
      </c>
      <c r="AA34" s="1">
        <v>25</v>
      </c>
      <c r="AB34" s="1">
        <v>5.9027777777777776E-2</v>
      </c>
      <c r="AC34" s="1">
        <v>13</v>
      </c>
      <c r="AD34" s="1">
        <v>6</v>
      </c>
      <c r="AE34" s="1" t="s">
        <v>53</v>
      </c>
      <c r="AF34" s="1" t="s">
        <v>46</v>
      </c>
      <c r="AG34" s="1" t="s">
        <v>46</v>
      </c>
      <c r="AH34" s="1" t="s">
        <v>46</v>
      </c>
      <c r="AI34" s="1" t="s">
        <v>326</v>
      </c>
      <c r="AJ34" s="1" t="s">
        <v>327</v>
      </c>
      <c r="AK34" s="1" t="s">
        <v>46</v>
      </c>
      <c r="AL34" s="1" t="s">
        <v>46</v>
      </c>
      <c r="AN34" s="1" t="s">
        <v>90</v>
      </c>
      <c r="AO34" s="1" t="s">
        <v>55</v>
      </c>
      <c r="AP34" s="1">
        <v>80500</v>
      </c>
      <c r="AQ34" s="1">
        <v>28175000</v>
      </c>
      <c r="AR34" s="1">
        <v>9048000</v>
      </c>
      <c r="AS34" s="1">
        <v>1440000</v>
      </c>
      <c r="AT34" s="1">
        <v>1512000</v>
      </c>
      <c r="AU34" s="1">
        <v>12000000</v>
      </c>
      <c r="AV34" s="1">
        <v>16175000</v>
      </c>
    </row>
    <row r="35" spans="1:48" s="1" customFormat="1" x14ac:dyDescent="0.35">
      <c r="A35" s="1">
        <v>34</v>
      </c>
      <c r="B35" s="1" t="s">
        <v>328</v>
      </c>
      <c r="C35" s="1" t="s">
        <v>329</v>
      </c>
      <c r="D35" s="1" t="s">
        <v>330</v>
      </c>
      <c r="E35" s="1" t="s">
        <v>42</v>
      </c>
      <c r="F35" s="1" t="s">
        <v>46</v>
      </c>
      <c r="H35" s="1" t="s">
        <v>298</v>
      </c>
      <c r="I35" s="1">
        <v>62177</v>
      </c>
      <c r="J35" s="1">
        <v>68790</v>
      </c>
      <c r="K35" s="1">
        <v>900</v>
      </c>
      <c r="L35" s="1">
        <v>850</v>
      </c>
      <c r="M35" s="1" t="s">
        <v>46</v>
      </c>
      <c r="N35" s="1">
        <v>90000</v>
      </c>
      <c r="O35" s="1">
        <v>17000</v>
      </c>
      <c r="P35" s="1">
        <v>42000</v>
      </c>
      <c r="Q35" s="1">
        <v>2022</v>
      </c>
      <c r="R35" s="1" t="s">
        <v>331</v>
      </c>
      <c r="S35" s="1" t="s">
        <v>314</v>
      </c>
      <c r="T35" s="1" t="s">
        <v>64</v>
      </c>
      <c r="U35" s="1" t="s">
        <v>72</v>
      </c>
      <c r="X35" s="1" t="s">
        <v>51</v>
      </c>
      <c r="Y35" s="1" t="s">
        <v>52</v>
      </c>
      <c r="Z35" s="1">
        <v>412105</v>
      </c>
      <c r="AA35" s="1">
        <v>30</v>
      </c>
      <c r="AB35" s="1">
        <v>6.25E-2</v>
      </c>
      <c r="AC35" s="1">
        <v>30</v>
      </c>
      <c r="AD35" s="1">
        <v>16</v>
      </c>
      <c r="AE35" s="1" t="s">
        <v>53</v>
      </c>
      <c r="AF35" s="1" t="s">
        <v>46</v>
      </c>
      <c r="AG35" s="1" t="s">
        <v>46</v>
      </c>
      <c r="AH35" s="1" t="s">
        <v>46</v>
      </c>
      <c r="AI35" s="1" t="s">
        <v>332</v>
      </c>
      <c r="AJ35" s="1" t="s">
        <v>333</v>
      </c>
      <c r="AK35" s="1" t="s">
        <v>46</v>
      </c>
      <c r="AL35" s="1" t="s">
        <v>46</v>
      </c>
      <c r="AN35" s="1" t="s">
        <v>110</v>
      </c>
      <c r="AO35" s="1" t="s">
        <v>55</v>
      </c>
      <c r="AP35" s="1">
        <v>65483.5</v>
      </c>
      <c r="AQ35" s="1">
        <v>55660975</v>
      </c>
      <c r="AR35" s="1">
        <v>15120000</v>
      </c>
      <c r="AS35" s="1">
        <v>1080000</v>
      </c>
      <c r="AT35" s="1">
        <v>3264000</v>
      </c>
      <c r="AU35" s="1">
        <v>19464000</v>
      </c>
      <c r="AV35" s="1">
        <v>36196975</v>
      </c>
    </row>
  </sheetData>
  <hyperlinks>
    <hyperlink ref="D14" r:id="rId1" display="https://www.google.com/maps/place/Jagadguru+English+Medium+School/@18.7148582,73.7663035,605m/data=!3m2!1e3!4b1!4m6!3m5!1s0x3bc2b6dd0782520b:0x9d3dc05a553254c3!8m2!3d18.7148531!4d73.7688731!16s%2Fg%2F1pp2wy6yq?entry=ttu&amp;g_ep=EgoyMDI1MTIwOS4wIKXMDSoASAFQAw%3D%3D" xr:uid="{DF72890A-4E72-4FFF-BD4F-32E75BFFCA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SANKUL DWIVEDI</dc:creator>
  <cp:lastModifiedBy>SANKUL DWIVEDI</cp:lastModifiedBy>
  <dcterms:created xsi:type="dcterms:W3CDTF">2026-01-03T08:35:41Z</dcterms:created>
  <dcterms:modified xsi:type="dcterms:W3CDTF">2026-01-03T11:10:24Z</dcterms:modified>
</cp:coreProperties>
</file>